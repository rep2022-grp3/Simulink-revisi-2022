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arry\Downloads\SPWH\"/>
    </mc:Choice>
  </mc:AlternateContent>
  <xr:revisionPtr revIDLastSave="0" documentId="13_ncr:1_{6E10E46F-3346-4DA5-AA67-22A7F4905E0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shboard" sheetId="1" r:id="rId1"/>
    <sheet name="processor" sheetId="2" r:id="rId2"/>
    <sheet name="index" sheetId="3" r:id="rId3"/>
    <sheet name="Agile" sheetId="6" r:id="rId4"/>
    <sheet name="csv-Master" sheetId="4" r:id="rId5"/>
    <sheet name="csv-WeatherInpu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0" roundtripDataSignature="AMtx7mhvG8qn9XM+sAT0Zad41v6wMc9umw=="/>
    </ext>
  </extLst>
</workbook>
</file>

<file path=xl/calcChain.xml><?xml version="1.0" encoding="utf-8"?>
<calcChain xmlns="http://schemas.openxmlformats.org/spreadsheetml/2006/main">
  <c r="AJ50" i="2" l="1"/>
  <c r="AK50" i="2" s="1"/>
  <c r="AH50" i="2"/>
  <c r="AH49" i="2"/>
  <c r="AJ49" i="2" s="1"/>
  <c r="AK49" i="2" s="1"/>
  <c r="AH48" i="2"/>
  <c r="AJ48" i="2" s="1"/>
  <c r="AK48" i="2" s="1"/>
  <c r="AH47" i="2"/>
  <c r="AJ47" i="2" s="1"/>
  <c r="AK47" i="2" s="1"/>
  <c r="AH46" i="2"/>
  <c r="AJ46" i="2" s="1"/>
  <c r="AK46" i="2" s="1"/>
  <c r="AH45" i="2"/>
  <c r="AJ45" i="2" s="1"/>
  <c r="AK45" i="2" s="1"/>
  <c r="AH44" i="2"/>
  <c r="AJ44" i="2" s="1"/>
  <c r="AK44" i="2" s="1"/>
  <c r="AH43" i="2"/>
  <c r="AJ43" i="2" s="1"/>
  <c r="AK43" i="2" s="1"/>
  <c r="AJ42" i="2"/>
  <c r="AK42" i="2" s="1"/>
  <c r="AH42" i="2"/>
  <c r="AH41" i="2"/>
  <c r="AJ41" i="2" s="1"/>
  <c r="AK41" i="2" s="1"/>
  <c r="AH40" i="2"/>
  <c r="AJ40" i="2" s="1"/>
  <c r="AK40" i="2" s="1"/>
  <c r="AH39" i="2"/>
  <c r="AJ39" i="2" s="1"/>
  <c r="AK39" i="2" s="1"/>
  <c r="AH38" i="2"/>
  <c r="AJ38" i="2" s="1"/>
  <c r="AK38" i="2" s="1"/>
  <c r="AJ37" i="2"/>
  <c r="AK37" i="2" s="1"/>
  <c r="AH37" i="2"/>
  <c r="AH36" i="2"/>
  <c r="AJ36" i="2" s="1"/>
  <c r="AK36" i="2" s="1"/>
  <c r="AH35" i="2"/>
  <c r="AJ35" i="2" s="1"/>
  <c r="AK35" i="2" s="1"/>
  <c r="AH34" i="2"/>
  <c r="AJ34" i="2" s="1"/>
  <c r="AK34" i="2" s="1"/>
  <c r="AH33" i="2"/>
  <c r="AJ33" i="2" s="1"/>
  <c r="AK33" i="2" s="1"/>
  <c r="AH32" i="2"/>
  <c r="AJ32" i="2" s="1"/>
  <c r="AK32" i="2" s="1"/>
  <c r="AH31" i="2"/>
  <c r="AJ31" i="2" s="1"/>
  <c r="AK31" i="2" s="1"/>
  <c r="AH30" i="2"/>
  <c r="AJ30" i="2" s="1"/>
  <c r="AK30" i="2" s="1"/>
  <c r="AH29" i="2"/>
  <c r="AJ29" i="2" s="1"/>
  <c r="AK29" i="2" s="1"/>
  <c r="AH28" i="2"/>
  <c r="AJ28" i="2" s="1"/>
  <c r="AK28" i="2" s="1"/>
  <c r="AH27" i="2"/>
  <c r="AJ27" i="2" s="1"/>
  <c r="AK27" i="2" s="1"/>
  <c r="AH26" i="2"/>
  <c r="AJ26" i="2" s="1"/>
  <c r="AK26" i="2" s="1"/>
  <c r="AH25" i="2"/>
  <c r="AJ25" i="2" s="1"/>
  <c r="AK25" i="2" s="1"/>
  <c r="AH24" i="2"/>
  <c r="AJ24" i="2" s="1"/>
  <c r="AK24" i="2" s="1"/>
  <c r="AH23" i="2"/>
  <c r="AJ23" i="2" s="1"/>
  <c r="AK23" i="2" s="1"/>
  <c r="AH22" i="2"/>
  <c r="AJ22" i="2" s="1"/>
  <c r="AK22" i="2" s="1"/>
  <c r="AH21" i="2"/>
  <c r="AJ21" i="2" s="1"/>
  <c r="AK21" i="2" s="1"/>
  <c r="AH20" i="2"/>
  <c r="AJ20" i="2" s="1"/>
  <c r="AK20" i="2" s="1"/>
  <c r="AH19" i="2"/>
  <c r="AJ19" i="2" s="1"/>
  <c r="AK19" i="2" s="1"/>
  <c r="AJ18" i="2"/>
  <c r="AK18" i="2" s="1"/>
  <c r="AH18" i="2"/>
  <c r="AH17" i="2"/>
  <c r="AJ17" i="2" s="1"/>
  <c r="AK17" i="2" s="1"/>
  <c r="AH16" i="2"/>
  <c r="AJ16" i="2" s="1"/>
  <c r="AK16" i="2" s="1"/>
  <c r="AH15" i="2"/>
  <c r="AJ15" i="2" s="1"/>
  <c r="AK15" i="2" s="1"/>
  <c r="AH14" i="2"/>
  <c r="AJ14" i="2" s="1"/>
  <c r="AK14" i="2" s="1"/>
  <c r="AH13" i="2"/>
  <c r="AJ13" i="2" s="1"/>
  <c r="AK13" i="2" s="1"/>
  <c r="AH12" i="2"/>
  <c r="AJ12" i="2" s="1"/>
  <c r="AK12" i="2" s="1"/>
  <c r="AH11" i="2"/>
  <c r="AJ11" i="2" s="1"/>
  <c r="AK11" i="2" s="1"/>
  <c r="AH10" i="2"/>
  <c r="AJ10" i="2" s="1"/>
  <c r="AK10" i="2" s="1"/>
  <c r="AH9" i="2"/>
  <c r="AJ9" i="2" s="1"/>
  <c r="AK9" i="2" s="1"/>
  <c r="AH8" i="2"/>
  <c r="AJ8" i="2" s="1"/>
  <c r="AK8" i="2" s="1"/>
  <c r="AH7" i="2"/>
  <c r="AJ7" i="2" s="1"/>
  <c r="AK7" i="2" s="1"/>
  <c r="AH6" i="2"/>
  <c r="AJ6" i="2" s="1"/>
  <c r="AK6" i="2" s="1"/>
  <c r="AH5" i="2"/>
  <c r="AJ5" i="2" s="1"/>
  <c r="AK5" i="2" s="1"/>
  <c r="AH4" i="2"/>
  <c r="AJ4" i="2" s="1"/>
  <c r="AK4" i="2" s="1"/>
  <c r="AM3" i="2"/>
  <c r="AM47" i="2" s="1"/>
  <c r="AH3" i="2"/>
  <c r="AJ3" i="2" s="1"/>
  <c r="AK3" i="2" s="1"/>
  <c r="C33" i="1"/>
  <c r="AN47" i="2" l="1"/>
  <c r="AM33" i="2"/>
  <c r="AN33" i="2" s="1"/>
  <c r="AM24" i="2"/>
  <c r="AM48" i="2"/>
  <c r="AN48" i="2" s="1"/>
  <c r="AM16" i="2"/>
  <c r="AN16" i="2" s="1"/>
  <c r="AM40" i="2"/>
  <c r="AN40" i="2" s="1"/>
  <c r="AM9" i="2"/>
  <c r="AM25" i="2"/>
  <c r="AM17" i="2"/>
  <c r="AM41" i="2"/>
  <c r="AM32" i="2"/>
  <c r="AM8" i="2"/>
  <c r="AS33" i="2"/>
  <c r="AQ33" i="2" s="1"/>
  <c r="AS48" i="2"/>
  <c r="AQ48" i="2" s="1"/>
  <c r="AS47" i="2"/>
  <c r="AQ47" i="2" s="1"/>
  <c r="AN9" i="2"/>
  <c r="AN17" i="2"/>
  <c r="AN32" i="2"/>
  <c r="AN41" i="2"/>
  <c r="AN24" i="2"/>
  <c r="AN25" i="2"/>
  <c r="AS40" i="2"/>
  <c r="AQ40" i="2" s="1"/>
  <c r="AN8" i="2"/>
  <c r="AM10" i="2"/>
  <c r="AN10" i="2" s="1"/>
  <c r="AM18" i="2"/>
  <c r="AN18" i="2" s="1"/>
  <c r="AM26" i="2"/>
  <c r="AN26" i="2" s="1"/>
  <c r="AM34" i="2"/>
  <c r="AN34" i="2" s="1"/>
  <c r="AM42" i="2"/>
  <c r="AN42" i="2" s="1"/>
  <c r="AM50" i="2"/>
  <c r="AN50" i="2" s="1"/>
  <c r="AM11" i="2"/>
  <c r="AN11" i="2" s="1"/>
  <c r="AM19" i="2"/>
  <c r="AN19" i="2" s="1"/>
  <c r="AM27" i="2"/>
  <c r="AN27" i="2" s="1"/>
  <c r="AM35" i="2"/>
  <c r="AN35" i="2" s="1"/>
  <c r="AM43" i="2"/>
  <c r="AN43" i="2" s="1"/>
  <c r="AN3" i="2"/>
  <c r="AM4" i="2"/>
  <c r="AN4" i="2" s="1"/>
  <c r="AM12" i="2"/>
  <c r="AN12" i="2" s="1"/>
  <c r="AM20" i="2"/>
  <c r="AN20" i="2" s="1"/>
  <c r="AM28" i="2"/>
  <c r="AN28" i="2" s="1"/>
  <c r="AM36" i="2"/>
  <c r="AN36" i="2" s="1"/>
  <c r="AM44" i="2"/>
  <c r="AN44" i="2" s="1"/>
  <c r="AM49" i="2"/>
  <c r="AN49" i="2" s="1"/>
  <c r="AM5" i="2"/>
  <c r="AN5" i="2" s="1"/>
  <c r="AM13" i="2"/>
  <c r="AN13" i="2" s="1"/>
  <c r="AM21" i="2"/>
  <c r="AN21" i="2" s="1"/>
  <c r="AM29" i="2"/>
  <c r="AN29" i="2" s="1"/>
  <c r="AM37" i="2"/>
  <c r="AN37" i="2" s="1"/>
  <c r="AM45" i="2"/>
  <c r="AN45" i="2" s="1"/>
  <c r="AM6" i="2"/>
  <c r="AN6" i="2" s="1"/>
  <c r="AM14" i="2"/>
  <c r="AN14" i="2" s="1"/>
  <c r="AM22" i="2"/>
  <c r="AN22" i="2" s="1"/>
  <c r="AM30" i="2"/>
  <c r="AN30" i="2" s="1"/>
  <c r="AM38" i="2"/>
  <c r="AN38" i="2" s="1"/>
  <c r="AM46" i="2"/>
  <c r="AN46" i="2" s="1"/>
  <c r="AM7" i="2"/>
  <c r="AN7" i="2" s="1"/>
  <c r="AM15" i="2"/>
  <c r="AN15" i="2" s="1"/>
  <c r="AM23" i="2"/>
  <c r="AN23" i="2" s="1"/>
  <c r="AM31" i="2"/>
  <c r="AN31" i="2" s="1"/>
  <c r="AM39" i="2"/>
  <c r="AN39" i="2" s="1"/>
  <c r="AS30" i="2" l="1"/>
  <c r="AQ30" i="2" s="1"/>
  <c r="AS13" i="2"/>
  <c r="AQ13" i="2" s="1"/>
  <c r="AS4" i="2"/>
  <c r="AQ4" i="2" s="1"/>
  <c r="AS42" i="2"/>
  <c r="AQ42" i="2" s="1"/>
  <c r="AS25" i="2"/>
  <c r="AQ25" i="2" s="1"/>
  <c r="AT47" i="2"/>
  <c r="AR47" i="2" s="1"/>
  <c r="AS38" i="2"/>
  <c r="AQ38" i="2" s="1"/>
  <c r="AT21" i="2"/>
  <c r="AR21" i="2" s="1"/>
  <c r="AS21" i="2"/>
  <c r="AQ21" i="2" s="1"/>
  <c r="AS50" i="2"/>
  <c r="AQ50" i="2" s="1"/>
  <c r="AS22" i="2"/>
  <c r="AQ22" i="2" s="1"/>
  <c r="AS5" i="2"/>
  <c r="AQ5" i="2" s="1"/>
  <c r="AT5" i="2"/>
  <c r="AR5" i="2" s="1"/>
  <c r="AS3" i="2"/>
  <c r="AQ3" i="2" s="1"/>
  <c r="B31" i="1"/>
  <c r="AS34" i="2"/>
  <c r="AQ34" i="2" s="1"/>
  <c r="AS24" i="2"/>
  <c r="AQ24" i="2" s="1"/>
  <c r="AS31" i="2"/>
  <c r="AQ31" i="2" s="1"/>
  <c r="AS14" i="2"/>
  <c r="AQ14" i="2" s="1"/>
  <c r="AS49" i="2"/>
  <c r="AQ49" i="2" s="1"/>
  <c r="AS43" i="2"/>
  <c r="AQ43" i="2" s="1"/>
  <c r="AS26" i="2"/>
  <c r="AQ26" i="2" s="1"/>
  <c r="AS41" i="2"/>
  <c r="AQ41" i="2" s="1"/>
  <c r="AT48" i="2"/>
  <c r="AR48" i="2" s="1"/>
  <c r="AT7" i="2"/>
  <c r="AR7" i="2" s="1"/>
  <c r="AS7" i="2"/>
  <c r="AQ7" i="2" s="1"/>
  <c r="AS37" i="2"/>
  <c r="AQ37" i="2" s="1"/>
  <c r="AT28" i="2"/>
  <c r="AR28" i="2" s="1"/>
  <c r="AS28" i="2"/>
  <c r="AQ28" i="2" s="1"/>
  <c r="AS19" i="2"/>
  <c r="AQ19" i="2" s="1"/>
  <c r="AS8" i="2"/>
  <c r="AQ8" i="2" s="1"/>
  <c r="AS16" i="2"/>
  <c r="AQ16" i="2" s="1"/>
  <c r="AS46" i="2"/>
  <c r="AQ46" i="2" s="1"/>
  <c r="AT29" i="2"/>
  <c r="AR29" i="2" s="1"/>
  <c r="AS29" i="2"/>
  <c r="AQ29" i="2" s="1"/>
  <c r="AS20" i="2"/>
  <c r="AQ20" i="2" s="1"/>
  <c r="AS11" i="2"/>
  <c r="AQ11" i="2" s="1"/>
  <c r="AT9" i="2"/>
  <c r="AR9" i="2" s="1"/>
  <c r="AS9" i="2"/>
  <c r="AQ9" i="2" s="1"/>
  <c r="AS12" i="2"/>
  <c r="AQ12" i="2" s="1"/>
  <c r="AT40" i="2"/>
  <c r="AR40" i="2" s="1"/>
  <c r="AS39" i="2"/>
  <c r="AQ39" i="2" s="1"/>
  <c r="AS23" i="2"/>
  <c r="AQ23" i="2" s="1"/>
  <c r="AS6" i="2"/>
  <c r="AQ6" i="2" s="1"/>
  <c r="AS44" i="2"/>
  <c r="AQ44" i="2" s="1"/>
  <c r="AT44" i="2"/>
  <c r="AR44" i="2" s="1"/>
  <c r="AS35" i="2"/>
  <c r="AQ35" i="2" s="1"/>
  <c r="AT35" i="2"/>
  <c r="AR35" i="2" s="1"/>
  <c r="AS18" i="2"/>
  <c r="AQ18" i="2" s="1"/>
  <c r="AS32" i="2"/>
  <c r="AQ32" i="2" s="1"/>
  <c r="AS15" i="2"/>
  <c r="AQ15" i="2" s="1"/>
  <c r="AS45" i="2"/>
  <c r="AQ45" i="2" s="1"/>
  <c r="AS36" i="2"/>
  <c r="AQ36" i="2" s="1"/>
  <c r="AT36" i="2"/>
  <c r="AR36" i="2" s="1"/>
  <c r="AS27" i="2"/>
  <c r="AQ27" i="2" s="1"/>
  <c r="AT27" i="2"/>
  <c r="AR27" i="2" s="1"/>
  <c r="AS10" i="2"/>
  <c r="AQ10" i="2" s="1"/>
  <c r="AS17" i="2"/>
  <c r="AQ17" i="2" s="1"/>
  <c r="AT33" i="2"/>
  <c r="AR33" i="2" s="1"/>
  <c r="AT46" i="2" l="1"/>
  <c r="AR46" i="2" s="1"/>
  <c r="AT11" i="2"/>
  <c r="AR11" i="2" s="1"/>
  <c r="AT22" i="2"/>
  <c r="AR22" i="2" s="1"/>
  <c r="AT3" i="2"/>
  <c r="AR3" i="2" s="1"/>
  <c r="AT50" i="2"/>
  <c r="AR50" i="2" s="1"/>
  <c r="AT13" i="2"/>
  <c r="AR13" i="2" s="1"/>
  <c r="AT43" i="2"/>
  <c r="AR43" i="2" s="1"/>
  <c r="AT37" i="2"/>
  <c r="AR37" i="2" s="1"/>
  <c r="AT32" i="2"/>
  <c r="AR32" i="2" s="1"/>
  <c r="AT6" i="2"/>
  <c r="AR6" i="2" s="1"/>
  <c r="AT41" i="2"/>
  <c r="AR41" i="2" s="1"/>
  <c r="AT14" i="2"/>
  <c r="AR14" i="2" s="1"/>
  <c r="AT42" i="2"/>
  <c r="AR42" i="2" s="1"/>
  <c r="AT18" i="2"/>
  <c r="AR18" i="2" s="1"/>
  <c r="AT45" i="2"/>
  <c r="AR45" i="2" s="1"/>
  <c r="AT16" i="2"/>
  <c r="AR16" i="2" s="1"/>
  <c r="AT38" i="2"/>
  <c r="AR38" i="2" s="1"/>
  <c r="AT31" i="2"/>
  <c r="AR31" i="2" s="1"/>
  <c r="AT39" i="2"/>
  <c r="AR39" i="2" s="1"/>
  <c r="AT20" i="2"/>
  <c r="AR20" i="2" s="1"/>
  <c r="AT24" i="2"/>
  <c r="AR24" i="2" s="1"/>
  <c r="AT23" i="2"/>
  <c r="AR23" i="2" s="1"/>
  <c r="AT26" i="2"/>
  <c r="AR26" i="2" s="1"/>
  <c r="AT8" i="2"/>
  <c r="AR8" i="2" s="1"/>
  <c r="AT4" i="2"/>
  <c r="AR4" i="2" s="1"/>
  <c r="AT17" i="2"/>
  <c r="AR17" i="2" s="1"/>
  <c r="AT10" i="2"/>
  <c r="AR10" i="2" s="1"/>
  <c r="AT15" i="2"/>
  <c r="AR15" i="2" s="1"/>
  <c r="AT12" i="2"/>
  <c r="AR12" i="2" s="1"/>
  <c r="AT19" i="2"/>
  <c r="AR19" i="2" s="1"/>
  <c r="AT49" i="2"/>
  <c r="AR49" i="2" s="1"/>
  <c r="AT34" i="2"/>
  <c r="AR34" i="2" s="1"/>
  <c r="AT25" i="2"/>
  <c r="AR25" i="2" s="1"/>
  <c r="AT30" i="2"/>
  <c r="AR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P2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ID#AAAAX_ZlUWA
TOBIAS HAPOSAN    (2022-04-12 09:44:18)
generate switching from weather scrape</t>
        </r>
      </text>
    </comment>
    <comment ref="AS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ID#AAAAX_ZlUWY
TOBIAS HAPOSAN    (2022-04-12 13:36:57)
we treat this as a main unit
------
ID#AAAAX_ZlUWo
TOBIAS HAPOSAN    (2022-04-12 14:51:37)
for direct case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CsHvJ2eX+8zhj7NcfHOsmwQ/HVw=="/>
    </ext>
  </extLst>
</comments>
</file>

<file path=xl/sharedStrings.xml><?xml version="1.0" encoding="utf-8"?>
<sst xmlns="http://schemas.openxmlformats.org/spreadsheetml/2006/main" count="496" uniqueCount="73">
  <si>
    <t>Occupancy</t>
  </si>
  <si>
    <t>Total volume</t>
  </si>
  <si>
    <t>Max SPWH operating time</t>
  </si>
  <si>
    <t>hour</t>
  </si>
  <si>
    <t>PROFILER</t>
  </si>
  <si>
    <t>FEEDER</t>
  </si>
  <si>
    <t>timestamp</t>
  </si>
  <si>
    <t>master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</si>
  <si>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</si>
  <si>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</si>
  <si>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</si>
  <si>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</si>
  <si>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</si>
  <si>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</si>
  <si>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</si>
  <si>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</si>
  <si>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</si>
  <si>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</si>
  <si>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</si>
  <si>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</si>
  <si>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</si>
  <si>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</si>
  <si>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</si>
  <si>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</si>
  <si>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</si>
  <si>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</si>
  <si>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</si>
  <si>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</si>
  <si>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</si>
  <si>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</si>
  <si>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</si>
  <si>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</si>
  <si>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</si>
  <si>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</si>
  <si>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</si>
  <si>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</si>
  <si>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</si>
  <si>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</si>
  <si>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average</t>
  </si>
  <si>
    <t>occupancy</t>
  </si>
  <si>
    <t>maxoccupancyrate</t>
  </si>
  <si>
    <t>indv-rate</t>
  </si>
  <si>
    <t>water</t>
  </si>
  <si>
    <t>SPWH_defaultAvailability</t>
  </si>
  <si>
    <t>SPWH_favourableWeatjer</t>
  </si>
  <si>
    <t>SPWH_use</t>
  </si>
  <si>
    <t>AB_use</t>
  </si>
  <si>
    <t>SPWH_outputDirect</t>
  </si>
  <si>
    <t>AB_outputDirect</t>
  </si>
  <si>
    <t>UNAVAILABLE</t>
  </si>
  <si>
    <t>UNVAFOURABLE</t>
  </si>
  <si>
    <t>AVAILABLE</t>
  </si>
  <si>
    <t>FAVOURABLE</t>
  </si>
  <si>
    <t>Variable</t>
  </si>
  <si>
    <t>Type</t>
  </si>
  <si>
    <t>Value</t>
  </si>
  <si>
    <t>Unit</t>
  </si>
  <si>
    <t>maxFlowrateSPWH</t>
  </si>
  <si>
    <t>limiter</t>
  </si>
  <si>
    <t>liters/30minutes</t>
  </si>
  <si>
    <t>maxFlowrateAB</t>
  </si>
  <si>
    <t>maxGenerationSPWH</t>
  </si>
  <si>
    <t>facilityCapacity</t>
  </si>
  <si>
    <t>liters/day</t>
  </si>
  <si>
    <t>maxGenerationAB</t>
  </si>
  <si>
    <t>SPWH_favourableWeather</t>
  </si>
  <si>
    <t>OFF</t>
  </si>
  <si>
    <t>ON</t>
  </si>
  <si>
    <t>Command</t>
  </si>
  <si>
    <t>AB_Command</t>
  </si>
  <si>
    <t>SPWH_Command</t>
  </si>
  <si>
    <t>SPWH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</si>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</sst>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liters&quot;"/>
    <numFmt numFmtId="165" formatCode="#,##0.00\ &quot;minutes&quot;"/>
  </numFmts>
  <fonts count="1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8"/>
      <color theme="1"/>
      <name val="Calibri"/>
      <scheme val="minor"/>
    </font>
    <font>
      <sz val="24"/>
      <color theme="1"/>
      <name val="Calibri"/>
      <scheme val="minor"/>
    </font>
    <font>
      <sz val="11"/>
      <name val="Calibri"/>
    </font>
    <font>
      <b/>
      <sz val="24"/>
      <color theme="1"/>
      <name val="Calibri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/>
    <xf numFmtId="0" fontId="8" fillId="0" borderId="0" xfId="0" applyFont="1"/>
    <xf numFmtId="164" fontId="8" fillId="0" borderId="0" xfId="0" applyNumberFormat="1" applyFont="1" applyAlignment="1"/>
    <xf numFmtId="0" fontId="8" fillId="4" borderId="5" xfId="0" applyFont="1" applyFill="1" applyBorder="1"/>
    <xf numFmtId="0" fontId="8" fillId="0" borderId="0" xfId="0" applyFont="1" applyAlignment="1"/>
    <xf numFmtId="0" fontId="9" fillId="0" borderId="0" xfId="0" applyFont="1"/>
    <xf numFmtId="9" fontId="10" fillId="0" borderId="0" xfId="0" applyNumberFormat="1" applyFont="1"/>
    <xf numFmtId="0" fontId="10" fillId="4" borderId="5" xfId="0" applyFont="1" applyFill="1" applyBorder="1"/>
    <xf numFmtId="9" fontId="10" fillId="0" borderId="0" xfId="0" applyNumberFormat="1" applyFont="1" applyAlignment="1"/>
    <xf numFmtId="164" fontId="9" fillId="0" borderId="0" xfId="0" applyNumberFormat="1" applyFont="1"/>
    <xf numFmtId="164" fontId="9" fillId="0" borderId="0" xfId="0" applyNumberFormat="1" applyFont="1" applyAlignment="1"/>
    <xf numFmtId="164" fontId="9" fillId="0" borderId="0" xfId="0" applyNumberFormat="1" applyFont="1" applyAlignment="1">
      <alignment horizontal="center"/>
    </xf>
    <xf numFmtId="0" fontId="9" fillId="0" borderId="0" xfId="0" applyFont="1" applyAlignment="1"/>
    <xf numFmtId="0" fontId="1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164" fontId="8" fillId="0" borderId="0" xfId="0" applyNumberFormat="1" applyFont="1" applyAlignment="1"/>
    <xf numFmtId="0" fontId="10" fillId="0" borderId="0" xfId="0" applyFont="1" applyAlignment="1">
      <alignment horizontal="right"/>
    </xf>
    <xf numFmtId="164" fontId="10" fillId="0" borderId="0" xfId="0" applyNumberFormat="1" applyFont="1"/>
    <xf numFmtId="0" fontId="0" fillId="0" borderId="0" xfId="0" applyFont="1" applyAlignment="1"/>
    <xf numFmtId="0" fontId="1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/>
    <xf numFmtId="9" fontId="3" fillId="0" borderId="2" xfId="0" applyNumberFormat="1" applyFont="1" applyBorder="1" applyAlignment="1"/>
    <xf numFmtId="0" fontId="4" fillId="0" borderId="3" xfId="0" applyFont="1" applyBorder="1"/>
    <xf numFmtId="0" fontId="4" fillId="0" borderId="4" xfId="0" applyFont="1" applyBorder="1"/>
    <xf numFmtId="164" fontId="5" fillId="0" borderId="2" xfId="0" applyNumberFormat="1" applyFont="1" applyBorder="1"/>
    <xf numFmtId="165" fontId="7" fillId="0" borderId="0" xfId="0" applyNumberFormat="1" applyFont="1"/>
    <xf numFmtId="0" fontId="0" fillId="0" borderId="0" xfId="0" applyFont="1" applyAlignment="1"/>
    <xf numFmtId="0" fontId="8" fillId="0" borderId="0" xfId="0" applyFont="1"/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D" b="1">
                <a:solidFill>
                  <a:srgbClr val="757575"/>
                </a:solidFill>
                <a:latin typeface="Arial"/>
              </a:rPr>
              <a:t>Hot water demand profile for today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2"/>
          <c:order val="2"/>
          <c:tx>
            <c:strRef>
              <c:f>processor!$AS$2</c:f>
              <c:strCache>
                <c:ptCount val="1"/>
                <c:pt idx="0">
                  <c:v>SPWH_outputDirect</c:v>
                </c:pt>
              </c:strCache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processor!$A$3:$A$50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processor!$AS$3:$AS$50</c:f>
              <c:numCache>
                <c:formatCode>#,##0.00\ "liters"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300.56096863555553</c:v>
                </c:pt>
                <c:pt idx="19">
                  <c:v>342.03569121777787</c:v>
                </c:pt>
                <c:pt idx="20">
                  <c:v>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0</c:v>
                </c:pt>
                <c:pt idx="25">
                  <c:v>500</c:v>
                </c:pt>
                <c:pt idx="26">
                  <c:v>500</c:v>
                </c:pt>
                <c:pt idx="27">
                  <c:v>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0</c:v>
                </c:pt>
                <c:pt idx="32">
                  <c:v>0</c:v>
                </c:pt>
                <c:pt idx="33">
                  <c:v>500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38-4CC9-914F-69DA00EDC8A3}"/>
            </c:ext>
          </c:extLst>
        </c:ser>
        <c:ser>
          <c:idx val="3"/>
          <c:order val="3"/>
          <c:tx>
            <c:strRef>
              <c:f>processor!$AT$2</c:f>
              <c:strCache>
                <c:ptCount val="1"/>
                <c:pt idx="0">
                  <c:v>AB_outputDirect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processor!$A$3:$A$50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processor!$AT$3:$AT$50</c:f>
              <c:numCache>
                <c:formatCode>#,##0.00\ "liters"</c:formatCode>
                <c:ptCount val="48"/>
                <c:pt idx="0">
                  <c:v>1220.4045709244444</c:v>
                </c:pt>
                <c:pt idx="1">
                  <c:v>1041.5230127066668</c:v>
                </c:pt>
                <c:pt idx="2">
                  <c:v>431.9079399822221</c:v>
                </c:pt>
                <c:pt idx="3">
                  <c:v>377.05556162222229</c:v>
                </c:pt>
                <c:pt idx="4">
                  <c:v>284.17273681333342</c:v>
                </c:pt>
                <c:pt idx="5">
                  <c:v>218.51407112888893</c:v>
                </c:pt>
                <c:pt idx="6">
                  <c:v>189.74283813333335</c:v>
                </c:pt>
                <c:pt idx="7">
                  <c:v>159.64829748711117</c:v>
                </c:pt>
                <c:pt idx="8">
                  <c:v>146.10003127599998</c:v>
                </c:pt>
                <c:pt idx="9">
                  <c:v>118.61398333644445</c:v>
                </c:pt>
                <c:pt idx="10">
                  <c:v>40.396761653333336</c:v>
                </c:pt>
                <c:pt idx="11">
                  <c:v>41.415775660444446</c:v>
                </c:pt>
                <c:pt idx="12">
                  <c:v>102.960757324</c:v>
                </c:pt>
                <c:pt idx="13">
                  <c:v>59.75937932444446</c:v>
                </c:pt>
                <c:pt idx="14">
                  <c:v>198.3659831955556</c:v>
                </c:pt>
                <c:pt idx="15">
                  <c:v>243.86039341777783</c:v>
                </c:pt>
                <c:pt idx="16">
                  <c:v>266.37820913777779</c:v>
                </c:pt>
                <c:pt idx="17">
                  <c:v>277.57477336000005</c:v>
                </c:pt>
                <c:pt idx="18">
                  <c:v>0</c:v>
                </c:pt>
                <c:pt idx="19">
                  <c:v>0</c:v>
                </c:pt>
                <c:pt idx="20">
                  <c:v>302.62669847999996</c:v>
                </c:pt>
                <c:pt idx="21">
                  <c:v>72.170782448888872</c:v>
                </c:pt>
                <c:pt idx="22">
                  <c:v>143.69594812888909</c:v>
                </c:pt>
                <c:pt idx="23">
                  <c:v>91.341612102222257</c:v>
                </c:pt>
                <c:pt idx="24">
                  <c:v>630.67363608000005</c:v>
                </c:pt>
                <c:pt idx="25">
                  <c:v>187.15709752888915</c:v>
                </c:pt>
                <c:pt idx="26">
                  <c:v>187.65540970666666</c:v>
                </c:pt>
                <c:pt idx="27">
                  <c:v>625.17900258222221</c:v>
                </c:pt>
                <c:pt idx="28">
                  <c:v>143.31392812000013</c:v>
                </c:pt>
                <c:pt idx="29">
                  <c:v>324.15701148000016</c:v>
                </c:pt>
                <c:pt idx="30">
                  <c:v>342.1913655333334</c:v>
                </c:pt>
                <c:pt idx="31">
                  <c:v>862.39627689777797</c:v>
                </c:pt>
                <c:pt idx="32">
                  <c:v>881.32804416444458</c:v>
                </c:pt>
                <c:pt idx="33">
                  <c:v>288.85772039111134</c:v>
                </c:pt>
                <c:pt idx="34">
                  <c:v>742.2053226400003</c:v>
                </c:pt>
                <c:pt idx="35">
                  <c:v>468.09256892000008</c:v>
                </c:pt>
                <c:pt idx="36">
                  <c:v>715.91856823555577</c:v>
                </c:pt>
                <c:pt idx="37">
                  <c:v>603.55688698222218</c:v>
                </c:pt>
                <c:pt idx="38">
                  <c:v>735.561507631111</c:v>
                </c:pt>
                <c:pt idx="39">
                  <c:v>1818.8719076444449</c:v>
                </c:pt>
                <c:pt idx="40">
                  <c:v>2390.2636159111112</c:v>
                </c:pt>
                <c:pt idx="41">
                  <c:v>2044.2585558755561</c:v>
                </c:pt>
                <c:pt idx="42">
                  <c:v>1815.9442271244443</c:v>
                </c:pt>
                <c:pt idx="43">
                  <c:v>827.49608385777765</c:v>
                </c:pt>
                <c:pt idx="44">
                  <c:v>950.3947411066664</c:v>
                </c:pt>
                <c:pt idx="45">
                  <c:v>857.4128144355559</c:v>
                </c:pt>
                <c:pt idx="46">
                  <c:v>891.98607923111149</c:v>
                </c:pt>
                <c:pt idx="47">
                  <c:v>806.33560379111123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38-4CC9-914F-69DA00EDC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030682"/>
        <c:axId val="1736233813"/>
      </c:barChart>
      <c:lineChart>
        <c:grouping val="standard"/>
        <c:varyColors val="0"/>
        <c:ser>
          <c:idx val="0"/>
          <c:order val="0"/>
          <c:tx>
            <c:v>average-60%</c:v>
          </c:tx>
          <c:spPr>
            <a:ln w="9525" cmpd="sng">
              <a:solidFill>
                <a:srgbClr val="4472C4">
                  <a:alpha val="10196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>
                  <a:alpha val="10196"/>
                </a:srgbClr>
              </a:solidFill>
              <a:ln cmpd="sng">
                <a:solidFill>
                  <a:srgbClr val="4472C4">
                    <a:alpha val="10196"/>
                  </a:srgbClr>
                </a:solidFill>
              </a:ln>
            </c:spPr>
          </c:marker>
          <c:trendline>
            <c:name>Hot water demand trendline</c:name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numRef>
              <c:f>processor!$A$3:$A$50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processor!$AH$3:$AH$50</c:f>
              <c:numCache>
                <c:formatCode>General</c:formatCode>
                <c:ptCount val="48"/>
                <c:pt idx="0">
                  <c:v>915.30342819333339</c:v>
                </c:pt>
                <c:pt idx="1">
                  <c:v>781.14225952999993</c:v>
                </c:pt>
                <c:pt idx="2">
                  <c:v>323.93095498666656</c:v>
                </c:pt>
                <c:pt idx="3">
                  <c:v>282.79167121666671</c:v>
                </c:pt>
                <c:pt idx="4">
                  <c:v>213.12955261000005</c:v>
                </c:pt>
                <c:pt idx="5">
                  <c:v>163.88555334666668</c:v>
                </c:pt>
                <c:pt idx="6">
                  <c:v>142.3071286</c:v>
                </c:pt>
                <c:pt idx="7">
                  <c:v>119.73622311533336</c:v>
                </c:pt>
                <c:pt idx="8">
                  <c:v>109.57502345699999</c:v>
                </c:pt>
                <c:pt idx="9">
                  <c:v>88.960487502333336</c:v>
                </c:pt>
                <c:pt idx="10">
                  <c:v>30.29757124</c:v>
                </c:pt>
                <c:pt idx="11">
                  <c:v>31.061831745333333</c:v>
                </c:pt>
                <c:pt idx="12">
                  <c:v>77.220567992999989</c:v>
                </c:pt>
                <c:pt idx="13">
                  <c:v>44.819534493333336</c:v>
                </c:pt>
                <c:pt idx="14">
                  <c:v>148.77448739666667</c:v>
                </c:pt>
                <c:pt idx="15">
                  <c:v>182.89529506333335</c:v>
                </c:pt>
                <c:pt idx="16">
                  <c:v>199.78365685333333</c:v>
                </c:pt>
                <c:pt idx="17">
                  <c:v>208.18108002000002</c:v>
                </c:pt>
                <c:pt idx="18">
                  <c:v>225.4207264766666</c:v>
                </c:pt>
                <c:pt idx="19">
                  <c:v>256.52676841333334</c:v>
                </c:pt>
                <c:pt idx="20">
                  <c:v>226.97002385999997</c:v>
                </c:pt>
                <c:pt idx="21">
                  <c:v>429.12808683666657</c:v>
                </c:pt>
                <c:pt idx="22">
                  <c:v>482.7719610966667</c:v>
                </c:pt>
                <c:pt idx="23">
                  <c:v>443.50620907666666</c:v>
                </c:pt>
                <c:pt idx="24">
                  <c:v>473.00522705999998</c:v>
                </c:pt>
                <c:pt idx="25">
                  <c:v>515.36782314666675</c:v>
                </c:pt>
                <c:pt idx="26">
                  <c:v>515.74155727999994</c:v>
                </c:pt>
                <c:pt idx="27">
                  <c:v>468.8842519366666</c:v>
                </c:pt>
                <c:pt idx="28">
                  <c:v>482.48544608999998</c:v>
                </c:pt>
                <c:pt idx="29">
                  <c:v>618.11775861000001</c:v>
                </c:pt>
                <c:pt idx="30">
                  <c:v>631.64352414999996</c:v>
                </c:pt>
                <c:pt idx="31">
                  <c:v>646.79720767333333</c:v>
                </c:pt>
                <c:pt idx="32">
                  <c:v>660.9960331233334</c:v>
                </c:pt>
                <c:pt idx="33">
                  <c:v>591.64329029333339</c:v>
                </c:pt>
                <c:pt idx="34">
                  <c:v>556.65399198000011</c:v>
                </c:pt>
                <c:pt idx="35">
                  <c:v>351.06942669</c:v>
                </c:pt>
                <c:pt idx="36">
                  <c:v>536.93892617666677</c:v>
                </c:pt>
                <c:pt idx="37">
                  <c:v>452.66766523666661</c:v>
                </c:pt>
                <c:pt idx="38">
                  <c:v>551.67113072333325</c:v>
                </c:pt>
                <c:pt idx="39">
                  <c:v>1364.1539307333337</c:v>
                </c:pt>
                <c:pt idx="40">
                  <c:v>1792.6977119333335</c:v>
                </c:pt>
                <c:pt idx="41">
                  <c:v>1533.193916906667</c:v>
                </c:pt>
                <c:pt idx="42">
                  <c:v>1361.9581703433332</c:v>
                </c:pt>
                <c:pt idx="43">
                  <c:v>620.62206289333312</c:v>
                </c:pt>
                <c:pt idx="44">
                  <c:v>712.79605582999977</c:v>
                </c:pt>
                <c:pt idx="45">
                  <c:v>643.05961082666681</c:v>
                </c:pt>
                <c:pt idx="46">
                  <c:v>668.9895594233335</c:v>
                </c:pt>
                <c:pt idx="47">
                  <c:v>604.75170284333342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38-4CC9-914F-69DA00EDC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030682"/>
        <c:axId val="1736233813"/>
      </c:lineChart>
      <c:areaChart>
        <c:grouping val="standard"/>
        <c:varyColors val="1"/>
        <c:ser>
          <c:idx val="1"/>
          <c:order val="1"/>
          <c:tx>
            <c:v>predicted-profile</c:v>
          </c:tx>
          <c:spPr>
            <a:solidFill>
              <a:srgbClr val="0B5394">
                <a:alpha val="30000"/>
              </a:srgbClr>
            </a:solidFill>
            <a:ln w="38100" cmpd="sng">
              <a:solidFill>
                <a:srgbClr val="0B5394">
                  <a:alpha val="50196"/>
                </a:srgbClr>
              </a:solidFill>
              <a:prstDash val="solid"/>
            </a:ln>
          </c:spPr>
          <c:cat>
            <c:numRef>
              <c:f>processor!$A$3:$A$50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processor!$AN$3:$AN$50</c:f>
              <c:numCache>
                <c:formatCode>#,##0.00\ "liters"</c:formatCode>
                <c:ptCount val="48"/>
                <c:pt idx="0">
                  <c:v>1220.4045709244444</c:v>
                </c:pt>
                <c:pt idx="1">
                  <c:v>1041.5230127066668</c:v>
                </c:pt>
                <c:pt idx="2">
                  <c:v>431.9079399822221</c:v>
                </c:pt>
                <c:pt idx="3">
                  <c:v>377.05556162222229</c:v>
                </c:pt>
                <c:pt idx="4">
                  <c:v>284.17273681333342</c:v>
                </c:pt>
                <c:pt idx="5">
                  <c:v>218.51407112888893</c:v>
                </c:pt>
                <c:pt idx="6">
                  <c:v>189.74283813333335</c:v>
                </c:pt>
                <c:pt idx="7">
                  <c:v>159.64829748711117</c:v>
                </c:pt>
                <c:pt idx="8">
                  <c:v>146.10003127599998</c:v>
                </c:pt>
                <c:pt idx="9">
                  <c:v>118.61398333644445</c:v>
                </c:pt>
                <c:pt idx="10">
                  <c:v>40.396761653333336</c:v>
                </c:pt>
                <c:pt idx="11">
                  <c:v>41.415775660444446</c:v>
                </c:pt>
                <c:pt idx="12">
                  <c:v>102.960757324</c:v>
                </c:pt>
                <c:pt idx="13">
                  <c:v>59.75937932444446</c:v>
                </c:pt>
                <c:pt idx="14">
                  <c:v>198.3659831955556</c:v>
                </c:pt>
                <c:pt idx="15">
                  <c:v>243.86039341777783</c:v>
                </c:pt>
                <c:pt idx="16">
                  <c:v>266.37820913777779</c:v>
                </c:pt>
                <c:pt idx="17">
                  <c:v>277.57477336000005</c:v>
                </c:pt>
                <c:pt idx="18">
                  <c:v>300.56096863555553</c:v>
                </c:pt>
                <c:pt idx="19">
                  <c:v>342.03569121777787</c:v>
                </c:pt>
                <c:pt idx="20">
                  <c:v>302.62669847999996</c:v>
                </c:pt>
                <c:pt idx="21">
                  <c:v>572.17078244888887</c:v>
                </c:pt>
                <c:pt idx="22">
                  <c:v>643.69594812888909</c:v>
                </c:pt>
                <c:pt idx="23">
                  <c:v>591.34161210222226</c:v>
                </c:pt>
                <c:pt idx="24">
                  <c:v>630.67363608000005</c:v>
                </c:pt>
                <c:pt idx="25">
                  <c:v>687.15709752888915</c:v>
                </c:pt>
                <c:pt idx="26">
                  <c:v>687.65540970666666</c:v>
                </c:pt>
                <c:pt idx="27">
                  <c:v>625.17900258222221</c:v>
                </c:pt>
                <c:pt idx="28">
                  <c:v>643.31392812000013</c:v>
                </c:pt>
                <c:pt idx="29">
                  <c:v>824.15701148000016</c:v>
                </c:pt>
                <c:pt idx="30">
                  <c:v>842.1913655333334</c:v>
                </c:pt>
                <c:pt idx="31">
                  <c:v>862.39627689777797</c:v>
                </c:pt>
                <c:pt idx="32">
                  <c:v>881.32804416444458</c:v>
                </c:pt>
                <c:pt idx="33">
                  <c:v>788.85772039111134</c:v>
                </c:pt>
                <c:pt idx="34">
                  <c:v>742.2053226400003</c:v>
                </c:pt>
                <c:pt idx="35">
                  <c:v>468.09256892000008</c:v>
                </c:pt>
                <c:pt idx="36">
                  <c:v>715.91856823555577</c:v>
                </c:pt>
                <c:pt idx="37">
                  <c:v>603.55688698222218</c:v>
                </c:pt>
                <c:pt idx="38">
                  <c:v>735.561507631111</c:v>
                </c:pt>
                <c:pt idx="39">
                  <c:v>1818.8719076444449</c:v>
                </c:pt>
                <c:pt idx="40">
                  <c:v>2390.2636159111112</c:v>
                </c:pt>
                <c:pt idx="41">
                  <c:v>2044.2585558755561</c:v>
                </c:pt>
                <c:pt idx="42">
                  <c:v>1815.9442271244443</c:v>
                </c:pt>
                <c:pt idx="43">
                  <c:v>827.49608385777765</c:v>
                </c:pt>
                <c:pt idx="44">
                  <c:v>950.3947411066664</c:v>
                </c:pt>
                <c:pt idx="45">
                  <c:v>857.4128144355559</c:v>
                </c:pt>
                <c:pt idx="46">
                  <c:v>891.98607923111149</c:v>
                </c:pt>
                <c:pt idx="47">
                  <c:v>806.33560379111123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38-4CC9-914F-69DA00EDC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030682"/>
        <c:axId val="1736233813"/>
      </c:areaChart>
      <c:catAx>
        <c:axId val="1149030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736233813"/>
        <c:crosses val="autoZero"/>
        <c:auto val="1"/>
        <c:lblAlgn val="ctr"/>
        <c:lblOffset val="100"/>
        <c:noMultiLvlLbl val="1"/>
      </c:catAx>
      <c:valAx>
        <c:axId val="1736233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Liters</a:t>
                </a:r>
              </a:p>
            </c:rich>
          </c:tx>
          <c:overlay val="0"/>
        </c:title>
        <c:numFmt formatCode="#,##0.00\ &quot;liters&quot;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90306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106150" cy="5381625"/>
    <xdr:graphicFrame macro="">
      <xdr:nvGraphicFramePr>
        <xdr:cNvPr id="1017868381" name="Chart 1" title="Chart">
          <a:extLst>
            <a:ext uri="{FF2B5EF4-FFF2-40B4-BE49-F238E27FC236}">
              <a16:creationId xmlns:a16="http://schemas.microsoft.com/office/drawing/2014/main" id="{00000000-0008-0000-0000-00005D70A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0E0E3"/>
    <outlinePr summaryBelow="0" summaryRight="0"/>
  </sheetPr>
  <dimension ref="A3:I1000"/>
  <sheetViews>
    <sheetView showGridLines="0" workbookViewId="0"/>
  </sheetViews>
  <sheetFormatPr defaultColWidth="14.42578125" defaultRowHeight="15" customHeight="1"/>
  <cols>
    <col min="1" max="1" width="27.42578125" customWidth="1"/>
    <col min="2" max="2" width="36.42578125" customWidth="1"/>
  </cols>
  <sheetData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9">
      <c r="A17" s="1"/>
    </row>
    <row r="18" spans="1:9">
      <c r="A18" s="1"/>
    </row>
    <row r="19" spans="1:9">
      <c r="A19" s="1"/>
    </row>
    <row r="20" spans="1:9">
      <c r="A20" s="1"/>
    </row>
    <row r="21" spans="1:9">
      <c r="A21" s="1"/>
    </row>
    <row r="22" spans="1:9">
      <c r="A22" s="1"/>
    </row>
    <row r="23" spans="1:9">
      <c r="A23" s="1"/>
    </row>
    <row r="24" spans="1:9">
      <c r="A24" s="1"/>
    </row>
    <row r="25" spans="1:9">
      <c r="A25" s="1"/>
    </row>
    <row r="26" spans="1:9">
      <c r="A26" s="1"/>
    </row>
    <row r="27" spans="1:9">
      <c r="A27" s="1"/>
    </row>
    <row r="28" spans="1:9">
      <c r="A28" s="1"/>
    </row>
    <row r="29" spans="1:9">
      <c r="A29" s="1"/>
    </row>
    <row r="30" spans="1:9" ht="15" customHeight="1">
      <c r="A30" s="2" t="s">
        <v>0</v>
      </c>
      <c r="B30" s="28">
        <v>0.8</v>
      </c>
      <c r="C30" s="29"/>
      <c r="D30" s="29"/>
      <c r="E30" s="29"/>
      <c r="F30" s="29"/>
      <c r="G30" s="29"/>
      <c r="H30" s="29"/>
      <c r="I30" s="30"/>
    </row>
    <row r="31" spans="1:9" ht="15" customHeight="1">
      <c r="A31" s="3" t="s">
        <v>1</v>
      </c>
      <c r="B31" s="31">
        <f>SUM(processor!AN:AN)</f>
        <v>31312.034753368451</v>
      </c>
      <c r="C31" s="29"/>
      <c r="D31" s="29"/>
      <c r="E31" s="29"/>
      <c r="F31" s="29"/>
      <c r="G31" s="29"/>
      <c r="H31" s="29"/>
      <c r="I31" s="30"/>
    </row>
    <row r="32" spans="1:9">
      <c r="A32" s="1"/>
    </row>
    <row r="33" spans="1:4" ht="15" customHeight="1">
      <c r="B33" s="4" t="s">
        <v>2</v>
      </c>
      <c r="C33" s="32">
        <f>30*COUNTIF(processor!AP:AP, "favourable")</f>
        <v>330</v>
      </c>
      <c r="D33" s="33"/>
    </row>
    <row r="34" spans="1:4" ht="15" customHeight="1">
      <c r="A34" s="5"/>
      <c r="B34" s="5"/>
      <c r="C34" s="33"/>
      <c r="D34" s="33"/>
    </row>
    <row r="35" spans="1:4" ht="15" customHeight="1">
      <c r="A35" s="5"/>
      <c r="B35" s="5"/>
      <c r="C35" s="33"/>
      <c r="D35" s="33"/>
    </row>
    <row r="36" spans="1:4" ht="15" customHeight="1">
      <c r="A36" s="5"/>
      <c r="B36" s="5"/>
      <c r="C36" s="33"/>
      <c r="D36" s="33"/>
    </row>
    <row r="37" spans="1:4" ht="15" customHeight="1">
      <c r="A37" s="5"/>
      <c r="B37" s="5"/>
      <c r="C37" s="33"/>
      <c r="D37" s="33"/>
    </row>
    <row r="38" spans="1:4" ht="15" customHeight="1">
      <c r="A38" s="5"/>
      <c r="B38" s="5"/>
      <c r="C38" s="33"/>
      <c r="D38" s="33"/>
    </row>
    <row r="39" spans="1:4" ht="18.75">
      <c r="A39" s="5"/>
      <c r="B39" s="5"/>
      <c r="C39" s="33"/>
      <c r="D39" s="33"/>
    </row>
    <row r="40" spans="1:4">
      <c r="A40" s="1"/>
      <c r="C40" s="33"/>
      <c r="D40" s="33"/>
    </row>
    <row r="41" spans="1:4">
      <c r="A41" s="1"/>
      <c r="C41" s="33"/>
      <c r="D41" s="33"/>
    </row>
    <row r="42" spans="1:4">
      <c r="A42" s="1"/>
      <c r="C42" s="33"/>
      <c r="D42" s="33"/>
    </row>
    <row r="43" spans="1:4">
      <c r="A43" s="1"/>
      <c r="C43" s="33"/>
      <c r="D43" s="33"/>
    </row>
    <row r="44" spans="1:4">
      <c r="A44" s="1"/>
      <c r="C44" s="33"/>
      <c r="D44" s="33"/>
    </row>
    <row r="45" spans="1:4">
      <c r="A45" s="1"/>
      <c r="C45" s="33"/>
      <c r="D45" s="33"/>
    </row>
    <row r="46" spans="1:4">
      <c r="A46" s="1"/>
      <c r="C46" s="33"/>
      <c r="D46" s="33"/>
    </row>
    <row r="47" spans="1:4">
      <c r="A47" s="1"/>
      <c r="C47" s="33"/>
      <c r="D47" s="33"/>
    </row>
    <row r="48" spans="1:4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</sheetData>
  <mergeCells count="17">
    <mergeCell ref="C36:D36"/>
    <mergeCell ref="C37:D37"/>
    <mergeCell ref="C45:D45"/>
    <mergeCell ref="C46:D46"/>
    <mergeCell ref="C47:D47"/>
    <mergeCell ref="C38:D38"/>
    <mergeCell ref="C39:D39"/>
    <mergeCell ref="C40:D40"/>
    <mergeCell ref="C41:D41"/>
    <mergeCell ref="C42:D42"/>
    <mergeCell ref="C43:D43"/>
    <mergeCell ref="C44:D44"/>
    <mergeCell ref="B30:I30"/>
    <mergeCell ref="B31:I31"/>
    <mergeCell ref="C33:D33"/>
    <mergeCell ref="C34:D34"/>
    <mergeCell ref="C35:D35"/>
  </mergeCells>
  <dataValidations count="1">
    <dataValidation type="list" allowBlank="1" sqref="B30" xr:uid="{00000000-0002-0000-0000-000000000000}">
      <formula1>"5%,10%,15%,20%,25%,30%,35%,40%,45%,50%,55%,60%,65%,70%,75%,80%,85%,90%,95%,100%"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BP50"/>
  <sheetViews>
    <sheetView showGridLines="0"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G52" sqref="G52"/>
    </sheetView>
  </sheetViews>
  <sheetFormatPr defaultColWidth="14.42578125" defaultRowHeight="15" customHeight="1"/>
  <cols>
    <col min="1" max="3" width="8.7109375" customWidth="1"/>
    <col min="4" max="33" width="8.140625" customWidth="1"/>
    <col min="34" max="34" width="8.7109375" customWidth="1"/>
    <col min="35" max="35" width="5.28515625" customWidth="1"/>
    <col min="36" max="37" width="8.7109375" customWidth="1"/>
    <col min="38" max="38" width="2.5703125" customWidth="1"/>
    <col min="39" max="39" width="7" customWidth="1"/>
    <col min="40" max="40" width="13.7109375" customWidth="1"/>
    <col min="41" max="42" width="8.5703125" customWidth="1"/>
    <col min="43" max="44" width="6.5703125" customWidth="1"/>
    <col min="45" max="46" width="16.28515625" customWidth="1"/>
    <col min="47" max="68" width="10.28515625" customWidth="1"/>
  </cols>
  <sheetData>
    <row r="1" spans="1:68">
      <c r="A1" s="34" t="s">
        <v>3</v>
      </c>
      <c r="B1" s="35" t="s">
        <v>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6" t="s">
        <v>5</v>
      </c>
      <c r="AP1" s="33"/>
      <c r="AQ1" s="33"/>
      <c r="AR1" s="33"/>
      <c r="AS1" s="33"/>
      <c r="AT1" s="33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</row>
    <row r="2" spans="1:68">
      <c r="A2" s="33"/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6" t="s">
        <v>33</v>
      </c>
      <c r="AD2" s="6" t="s">
        <v>34</v>
      </c>
      <c r="AE2" s="6" t="s">
        <v>35</v>
      </c>
      <c r="AF2" s="6" t="s">
        <v>36</v>
      </c>
      <c r="AG2" s="6" t="s">
        <v>37</v>
      </c>
      <c r="AH2" s="6" t="s">
        <v>38</v>
      </c>
      <c r="AI2" s="6" t="s">
        <v>39</v>
      </c>
      <c r="AJ2" s="6" t="s">
        <v>40</v>
      </c>
      <c r="AK2" s="6" t="s">
        <v>41</v>
      </c>
      <c r="AL2" s="8"/>
      <c r="AM2" s="9" t="s">
        <v>39</v>
      </c>
      <c r="AN2" s="7" t="s">
        <v>42</v>
      </c>
      <c r="AO2" s="9" t="s">
        <v>43</v>
      </c>
      <c r="AP2" s="7" t="s">
        <v>44</v>
      </c>
      <c r="AQ2" s="7" t="s">
        <v>45</v>
      </c>
      <c r="AR2" s="7" t="s">
        <v>46</v>
      </c>
      <c r="AS2" s="7" t="s">
        <v>47</v>
      </c>
      <c r="AT2" s="7" t="s">
        <v>48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</row>
    <row r="3" spans="1:68">
      <c r="A3" s="10">
        <v>0</v>
      </c>
      <c r="B3" s="10">
        <v>0</v>
      </c>
      <c r="C3" s="10">
        <v>600</v>
      </c>
      <c r="D3" s="10">
        <v>920.7886221</v>
      </c>
      <c r="E3" s="10">
        <v>905.78067180000005</v>
      </c>
      <c r="F3" s="10">
        <v>1175.143957</v>
      </c>
      <c r="G3" s="10">
        <v>735.80151720000003</v>
      </c>
      <c r="H3" s="10">
        <v>1028.3563779999999</v>
      </c>
      <c r="I3" s="10">
        <v>1092.0700429999999</v>
      </c>
      <c r="J3" s="10">
        <v>1087.3378769999999</v>
      </c>
      <c r="K3" s="10">
        <v>867.24115730000005</v>
      </c>
      <c r="L3" s="10">
        <v>847.52713129999995</v>
      </c>
      <c r="M3" s="10">
        <v>1057.4596509999999</v>
      </c>
      <c r="N3" s="10">
        <v>1134.215418</v>
      </c>
      <c r="O3" s="10">
        <v>900.76714790000005</v>
      </c>
      <c r="P3" s="10">
        <v>731.38409760000002</v>
      </c>
      <c r="Q3" s="10">
        <v>911.41002519999995</v>
      </c>
      <c r="R3" s="10">
        <v>957.37121509999997</v>
      </c>
      <c r="S3" s="10">
        <v>741.26126869999996</v>
      </c>
      <c r="T3" s="10">
        <v>712.75708210000005</v>
      </c>
      <c r="U3" s="10">
        <v>1091.5633</v>
      </c>
      <c r="V3" s="10">
        <v>1025.575556</v>
      </c>
      <c r="W3" s="10">
        <v>1085.6052589999999</v>
      </c>
      <c r="X3" s="10">
        <v>968.51267970000004</v>
      </c>
      <c r="Y3" s="10">
        <v>741.30093850000003</v>
      </c>
      <c r="Z3" s="10">
        <v>706.5475275</v>
      </c>
      <c r="AA3" s="10">
        <v>698.49486009999998</v>
      </c>
      <c r="AB3" s="10">
        <v>764.40458709999996</v>
      </c>
      <c r="AC3" s="10">
        <v>676.46608670000001</v>
      </c>
      <c r="AD3" s="10">
        <v>1043.4064989999999</v>
      </c>
      <c r="AE3" s="10">
        <v>1132.815728</v>
      </c>
      <c r="AF3" s="10">
        <v>828.85843739999996</v>
      </c>
      <c r="AG3" s="10">
        <v>888.87812650000001</v>
      </c>
      <c r="AH3" s="10">
        <f t="shared" ref="AH3:AH50" si="0">AVERAGE(D3:AG3)</f>
        <v>915.30342819333339</v>
      </c>
      <c r="AI3" s="11">
        <v>0.6</v>
      </c>
      <c r="AJ3" s="10">
        <f t="shared" ref="AJ3:AJ50" si="1">(1/AI3)*AH3</f>
        <v>1525.5057136555556</v>
      </c>
      <c r="AK3" s="10">
        <f t="shared" ref="AK3:AK50" si="2">AJ3/100</f>
        <v>15.255057136555557</v>
      </c>
      <c r="AL3" s="12"/>
      <c r="AM3" s="13">
        <f>dashboard!B30</f>
        <v>0.8</v>
      </c>
      <c r="AN3" s="14">
        <f t="shared" ref="AN3:AN50" si="3">AM3*AJ3</f>
        <v>1220.4045709244444</v>
      </c>
      <c r="AO3" s="10" t="s">
        <v>49</v>
      </c>
      <c r="AP3" s="15" t="s">
        <v>50</v>
      </c>
      <c r="AQ3" s="16" t="str">
        <f t="shared" ref="AQ3:AR3" si="4">IF(AS3&gt;1, "ON", "OFF")</f>
        <v>OFF</v>
      </c>
      <c r="AR3" s="16" t="str">
        <f t="shared" si="4"/>
        <v>ON</v>
      </c>
      <c r="AS3" s="15">
        <f>IF(AND(AN3&gt;index!$C$2, AO3="available", AP3="favourable"), index!$C$2, IF(AND(AO3="available", AP3="favourable"), AN3, 0))</f>
        <v>0</v>
      </c>
      <c r="AT3" s="14">
        <f t="shared" ref="AT3:AT50" si="5">AN3-AS3</f>
        <v>1220.4045709244444</v>
      </c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</row>
    <row r="4" spans="1:68">
      <c r="A4" s="10">
        <v>0.5</v>
      </c>
      <c r="B4" s="10">
        <v>1800</v>
      </c>
      <c r="C4" s="10">
        <v>500</v>
      </c>
      <c r="D4" s="10">
        <v>935.81941519999998</v>
      </c>
      <c r="E4" s="10">
        <v>598.54699459999995</v>
      </c>
      <c r="F4" s="10">
        <v>854.26880800000004</v>
      </c>
      <c r="G4" s="10">
        <v>975.55024209999999</v>
      </c>
      <c r="H4" s="10">
        <v>860.77255270000001</v>
      </c>
      <c r="I4" s="10">
        <v>980.80803579999997</v>
      </c>
      <c r="J4" s="10">
        <v>714.55348770000001</v>
      </c>
      <c r="K4" s="10">
        <v>516.08057110000004</v>
      </c>
      <c r="L4" s="10">
        <v>989.80125799999996</v>
      </c>
      <c r="M4" s="10">
        <v>706.24266399999999</v>
      </c>
      <c r="N4" s="10">
        <v>804.21519509999996</v>
      </c>
      <c r="O4" s="10">
        <v>817.5895921</v>
      </c>
      <c r="P4" s="10">
        <v>618.61288039999999</v>
      </c>
      <c r="Q4" s="10">
        <v>666.00552700000003</v>
      </c>
      <c r="R4" s="10">
        <v>886.99357540000005</v>
      </c>
      <c r="S4" s="10">
        <v>800.07851640000001</v>
      </c>
      <c r="T4" s="10">
        <v>728.14721380000003</v>
      </c>
      <c r="U4" s="10">
        <v>993.52573029999996</v>
      </c>
      <c r="V4" s="10">
        <v>527.63813679999998</v>
      </c>
      <c r="W4" s="10">
        <v>598.7493068</v>
      </c>
      <c r="X4" s="10">
        <v>576.99071819999995</v>
      </c>
      <c r="Y4" s="10">
        <v>780.56799720000004</v>
      </c>
      <c r="Z4" s="10">
        <v>664.81962859999999</v>
      </c>
      <c r="AA4" s="10">
        <v>669.46588580000002</v>
      </c>
      <c r="AB4" s="10">
        <v>970.37728319999997</v>
      </c>
      <c r="AC4" s="10">
        <v>504.96203889999998</v>
      </c>
      <c r="AD4" s="10">
        <v>934.20688040000005</v>
      </c>
      <c r="AE4" s="10">
        <v>795.12821759999997</v>
      </c>
      <c r="AF4" s="10">
        <v>999.42336069999999</v>
      </c>
      <c r="AG4" s="10">
        <v>964.32607199999995</v>
      </c>
      <c r="AH4" s="10">
        <f t="shared" si="0"/>
        <v>781.14225952999993</v>
      </c>
      <c r="AI4" s="11">
        <v>0.6</v>
      </c>
      <c r="AJ4" s="10">
        <f t="shared" si="1"/>
        <v>1301.9037658833333</v>
      </c>
      <c r="AK4" s="10">
        <f t="shared" si="2"/>
        <v>13.019037658833334</v>
      </c>
      <c r="AL4" s="12"/>
      <c r="AM4" s="11">
        <f t="shared" ref="AM4:AM50" si="6">$AM$3</f>
        <v>0.8</v>
      </c>
      <c r="AN4" s="14">
        <f t="shared" si="3"/>
        <v>1041.5230127066668</v>
      </c>
      <c r="AO4" s="10" t="s">
        <v>49</v>
      </c>
      <c r="AP4" s="14" t="s">
        <v>50</v>
      </c>
      <c r="AQ4" s="16" t="str">
        <f t="shared" ref="AQ4:AR4" si="7">IF(AS4&gt;1, "ON", "OFF")</f>
        <v>OFF</v>
      </c>
      <c r="AR4" s="16" t="str">
        <f t="shared" si="7"/>
        <v>ON</v>
      </c>
      <c r="AS4" s="15">
        <f>IF(AND(AN4&gt;index!$C$2, AO4="available", AP4="favourable"), index!$C$2, IF(AND(AO4="available", AP4="favourable"), AN4, 0))</f>
        <v>0</v>
      </c>
      <c r="AT4" s="14">
        <f t="shared" si="5"/>
        <v>1041.5230127066668</v>
      </c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</row>
    <row r="5" spans="1:68">
      <c r="A5" s="10">
        <v>1</v>
      </c>
      <c r="B5" s="10">
        <v>3600</v>
      </c>
      <c r="C5" s="10">
        <v>200</v>
      </c>
      <c r="D5" s="10">
        <v>326.85595649999999</v>
      </c>
      <c r="E5" s="10">
        <v>286.70335540000002</v>
      </c>
      <c r="F5" s="10">
        <v>232.33887100000001</v>
      </c>
      <c r="G5" s="10">
        <v>348.15515499999998</v>
      </c>
      <c r="H5" s="10">
        <v>378.45835529999999</v>
      </c>
      <c r="I5" s="10">
        <v>366.31186910000002</v>
      </c>
      <c r="J5" s="10">
        <v>364.01482620000002</v>
      </c>
      <c r="K5" s="10">
        <v>266.5080567</v>
      </c>
      <c r="L5" s="10">
        <v>266.31547560000001</v>
      </c>
      <c r="M5" s="10">
        <v>389.40246089999999</v>
      </c>
      <c r="N5" s="10">
        <v>309.83892129999998</v>
      </c>
      <c r="O5" s="10">
        <v>298.72118870000003</v>
      </c>
      <c r="P5" s="10">
        <v>382.66941809999997</v>
      </c>
      <c r="Q5" s="10">
        <v>341.38475690000001</v>
      </c>
      <c r="R5" s="10">
        <v>202.16566599999999</v>
      </c>
      <c r="S5" s="10">
        <v>306.96349149999998</v>
      </c>
      <c r="T5" s="10">
        <v>365.53275059999999</v>
      </c>
      <c r="U5" s="10">
        <v>267.52671930000002</v>
      </c>
      <c r="V5" s="10">
        <v>397.3919884</v>
      </c>
      <c r="W5" s="10">
        <v>335.18550540000001</v>
      </c>
      <c r="X5" s="10">
        <v>322.58854780000001</v>
      </c>
      <c r="Y5" s="10">
        <v>332.90816810000001</v>
      </c>
      <c r="Z5" s="10">
        <v>332.73022429999997</v>
      </c>
      <c r="AA5" s="10">
        <v>265.96217680000001</v>
      </c>
      <c r="AB5" s="10">
        <v>338.37144489999997</v>
      </c>
      <c r="AC5" s="10">
        <v>385.04024190000001</v>
      </c>
      <c r="AD5" s="10">
        <v>223.53638330000001</v>
      </c>
      <c r="AE5" s="10">
        <v>330.09692849999999</v>
      </c>
      <c r="AF5" s="10">
        <v>399.52038099999999</v>
      </c>
      <c r="AG5" s="10">
        <v>354.7293651</v>
      </c>
      <c r="AH5" s="10">
        <f t="shared" si="0"/>
        <v>323.93095498666656</v>
      </c>
      <c r="AI5" s="11">
        <v>0.6</v>
      </c>
      <c r="AJ5" s="10">
        <f t="shared" si="1"/>
        <v>539.88492497777759</v>
      </c>
      <c r="AK5" s="10">
        <f t="shared" si="2"/>
        <v>5.3988492497777756</v>
      </c>
      <c r="AL5" s="12"/>
      <c r="AM5" s="11">
        <f t="shared" si="6"/>
        <v>0.8</v>
      </c>
      <c r="AN5" s="14">
        <f t="shared" si="3"/>
        <v>431.9079399822221</v>
      </c>
      <c r="AO5" s="10" t="s">
        <v>49</v>
      </c>
      <c r="AP5" s="14" t="s">
        <v>50</v>
      </c>
      <c r="AQ5" s="16" t="str">
        <f t="shared" ref="AQ5:AR5" si="8">IF(AS5&gt;1, "ON", "OFF")</f>
        <v>OFF</v>
      </c>
      <c r="AR5" s="16" t="str">
        <f t="shared" si="8"/>
        <v>ON</v>
      </c>
      <c r="AS5" s="15">
        <f>IF(AND(AN5&gt;index!$C$2, AO5="available", AP5="favourable"), index!$C$2, IF(AND(AO5="available", AP5="favourable"), AN5, 0))</f>
        <v>0</v>
      </c>
      <c r="AT5" s="14">
        <f t="shared" si="5"/>
        <v>431.9079399822221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</row>
    <row r="6" spans="1:68">
      <c r="A6" s="10">
        <v>1.5</v>
      </c>
      <c r="B6" s="10">
        <v>5400</v>
      </c>
      <c r="C6" s="10">
        <v>180</v>
      </c>
      <c r="D6" s="10">
        <v>267.52456560000002</v>
      </c>
      <c r="E6" s="10">
        <v>247.32395550000001</v>
      </c>
      <c r="F6" s="10">
        <v>197.1410544</v>
      </c>
      <c r="G6" s="10">
        <v>301.4005219</v>
      </c>
      <c r="H6" s="10">
        <v>354.0964803</v>
      </c>
      <c r="I6" s="10">
        <v>285.37788399999999</v>
      </c>
      <c r="J6" s="10">
        <v>300.392607</v>
      </c>
      <c r="K6" s="10">
        <v>347.20015139999998</v>
      </c>
      <c r="L6" s="10">
        <v>355.30568030000001</v>
      </c>
      <c r="M6" s="10">
        <v>268.67860669999999</v>
      </c>
      <c r="N6" s="10">
        <v>318.45393710000002</v>
      </c>
      <c r="O6" s="10">
        <v>328.50644060000002</v>
      </c>
      <c r="P6" s="10">
        <v>343.812882</v>
      </c>
      <c r="Q6" s="10">
        <v>263.96216570000001</v>
      </c>
      <c r="R6" s="10">
        <v>339.62843350000003</v>
      </c>
      <c r="S6" s="10">
        <v>299.12793970000001</v>
      </c>
      <c r="T6" s="10">
        <v>234.27446939999999</v>
      </c>
      <c r="U6" s="10">
        <v>279.7607036</v>
      </c>
      <c r="V6" s="10">
        <v>286.92701749999998</v>
      </c>
      <c r="W6" s="10">
        <v>300.70534780000003</v>
      </c>
      <c r="X6" s="10">
        <v>233.45700930000001</v>
      </c>
      <c r="Y6" s="10">
        <v>300.0274091</v>
      </c>
      <c r="Z6" s="10">
        <v>354.69676479999998</v>
      </c>
      <c r="AA6" s="10">
        <v>217.4575906</v>
      </c>
      <c r="AB6" s="10">
        <v>279.85563789999998</v>
      </c>
      <c r="AC6" s="10">
        <v>180.35870729999999</v>
      </c>
      <c r="AD6" s="10">
        <v>309.82299970000003</v>
      </c>
      <c r="AE6" s="10">
        <v>208.24117860000001</v>
      </c>
      <c r="AF6" s="10">
        <v>271.08072779999998</v>
      </c>
      <c r="AG6" s="10">
        <v>209.15126739999999</v>
      </c>
      <c r="AH6" s="10">
        <f t="shared" si="0"/>
        <v>282.79167121666671</v>
      </c>
      <c r="AI6" s="11">
        <v>0.6</v>
      </c>
      <c r="AJ6" s="10">
        <f t="shared" si="1"/>
        <v>471.31945202777786</v>
      </c>
      <c r="AK6" s="10">
        <f t="shared" si="2"/>
        <v>4.7131945202777787</v>
      </c>
      <c r="AL6" s="12"/>
      <c r="AM6" s="11">
        <f t="shared" si="6"/>
        <v>0.8</v>
      </c>
      <c r="AN6" s="14">
        <f t="shared" si="3"/>
        <v>377.05556162222229</v>
      </c>
      <c r="AO6" s="10" t="s">
        <v>49</v>
      </c>
      <c r="AP6" s="14" t="s">
        <v>50</v>
      </c>
      <c r="AQ6" s="16" t="str">
        <f t="shared" ref="AQ6:AR6" si="9">IF(AS6&gt;1, "ON", "OFF")</f>
        <v>OFF</v>
      </c>
      <c r="AR6" s="16" t="str">
        <f t="shared" si="9"/>
        <v>ON</v>
      </c>
      <c r="AS6" s="15">
        <f>IF(AND(AN6&gt;index!$C$2, AO6="available", AP6="favourable"), index!$C$2, IF(AND(AO6="available", AP6="favourable"), AN6, 0))</f>
        <v>0</v>
      </c>
      <c r="AT6" s="14">
        <f t="shared" si="5"/>
        <v>377.05556162222229</v>
      </c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</row>
    <row r="7" spans="1:68">
      <c r="A7" s="10">
        <v>2</v>
      </c>
      <c r="B7" s="10">
        <v>7200</v>
      </c>
      <c r="C7" s="10">
        <v>150</v>
      </c>
      <c r="D7" s="10">
        <v>207.05693350000001</v>
      </c>
      <c r="E7" s="10">
        <v>176.1479573</v>
      </c>
      <c r="F7" s="10">
        <v>191.41681030000001</v>
      </c>
      <c r="G7" s="10">
        <v>257.81148439999998</v>
      </c>
      <c r="H7" s="10">
        <v>252.59311439999999</v>
      </c>
      <c r="I7" s="10">
        <v>179.4183519</v>
      </c>
      <c r="J7" s="10">
        <v>234.8919511</v>
      </c>
      <c r="K7" s="10">
        <v>264.68048929999998</v>
      </c>
      <c r="L7" s="10">
        <v>186.76560219999999</v>
      </c>
      <c r="M7" s="10">
        <v>193.3405928</v>
      </c>
      <c r="N7" s="10">
        <v>295.31616339999999</v>
      </c>
      <c r="O7" s="10">
        <v>193.90425970000001</v>
      </c>
      <c r="P7" s="10">
        <v>211.1596539</v>
      </c>
      <c r="Q7" s="10">
        <v>205.91933370000001</v>
      </c>
      <c r="R7" s="10">
        <v>264.39926550000001</v>
      </c>
      <c r="S7" s="10">
        <v>221.86899840000001</v>
      </c>
      <c r="T7" s="10">
        <v>261.48234730000001</v>
      </c>
      <c r="U7" s="10">
        <v>227.1550962</v>
      </c>
      <c r="V7" s="10">
        <v>167.9284255</v>
      </c>
      <c r="W7" s="10">
        <v>251.7864549</v>
      </c>
      <c r="X7" s="10">
        <v>180.3891419</v>
      </c>
      <c r="Y7" s="10">
        <v>189.8930622</v>
      </c>
      <c r="Z7" s="10">
        <v>157.21210439999999</v>
      </c>
      <c r="AA7" s="10">
        <v>157.76906990000001</v>
      </c>
      <c r="AB7" s="10">
        <v>258.36154579999999</v>
      </c>
      <c r="AC7" s="10">
        <v>152.42845740000001</v>
      </c>
      <c r="AD7" s="10">
        <v>282.7893871</v>
      </c>
      <c r="AE7" s="10">
        <v>202.5314434</v>
      </c>
      <c r="AF7" s="10">
        <v>162.2003321</v>
      </c>
      <c r="AG7" s="10">
        <v>205.26874839999999</v>
      </c>
      <c r="AH7" s="10">
        <f t="shared" si="0"/>
        <v>213.12955261000005</v>
      </c>
      <c r="AI7" s="11">
        <v>0.6</v>
      </c>
      <c r="AJ7" s="10">
        <f t="shared" si="1"/>
        <v>355.21592101666675</v>
      </c>
      <c r="AK7" s="10">
        <f t="shared" si="2"/>
        <v>3.5521592101666677</v>
      </c>
      <c r="AL7" s="12"/>
      <c r="AM7" s="11">
        <f t="shared" si="6"/>
        <v>0.8</v>
      </c>
      <c r="AN7" s="14">
        <f t="shared" si="3"/>
        <v>284.17273681333342</v>
      </c>
      <c r="AO7" s="10" t="s">
        <v>49</v>
      </c>
      <c r="AP7" s="14" t="s">
        <v>50</v>
      </c>
      <c r="AQ7" s="16" t="str">
        <f t="shared" ref="AQ7:AR7" si="10">IF(AS7&gt;1, "ON", "OFF")</f>
        <v>OFF</v>
      </c>
      <c r="AR7" s="16" t="str">
        <f t="shared" si="10"/>
        <v>ON</v>
      </c>
      <c r="AS7" s="15">
        <f>IF(AND(AN7&gt;index!$C$2, AO7="available", AP7="favourable"), index!$C$2, IF(AND(AO7="available", AP7="favourable"), AN7, 0))</f>
        <v>0</v>
      </c>
      <c r="AT7" s="14">
        <f t="shared" si="5"/>
        <v>284.17273681333342</v>
      </c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>
      <c r="A8" s="10">
        <v>2.5</v>
      </c>
      <c r="B8" s="10">
        <v>9000</v>
      </c>
      <c r="C8" s="10">
        <v>110</v>
      </c>
      <c r="D8" s="10">
        <v>201.69830260000001</v>
      </c>
      <c r="E8" s="10">
        <v>155.374819</v>
      </c>
      <c r="F8" s="10">
        <v>151.01494890000001</v>
      </c>
      <c r="G8" s="10">
        <v>178.59532390000001</v>
      </c>
      <c r="H8" s="10">
        <v>184.5723496</v>
      </c>
      <c r="I8" s="10">
        <v>202.07799990000001</v>
      </c>
      <c r="J8" s="10">
        <v>148.4295449</v>
      </c>
      <c r="K8" s="10">
        <v>205.67259419999999</v>
      </c>
      <c r="L8" s="10">
        <v>219.96156590000001</v>
      </c>
      <c r="M8" s="10">
        <v>213.69229350000001</v>
      </c>
      <c r="N8" s="10">
        <v>134.0821402</v>
      </c>
      <c r="O8" s="10">
        <v>180.17691540000001</v>
      </c>
      <c r="P8" s="10">
        <v>159.3370961</v>
      </c>
      <c r="Q8" s="10">
        <v>208.62316000000001</v>
      </c>
      <c r="R8" s="10">
        <v>142.87991460000001</v>
      </c>
      <c r="S8" s="10">
        <v>125.2687942</v>
      </c>
      <c r="T8" s="10">
        <v>170.67532739999999</v>
      </c>
      <c r="U8" s="10">
        <v>157.87326569999999</v>
      </c>
      <c r="V8" s="10">
        <v>138.86534660000001</v>
      </c>
      <c r="W8" s="10">
        <v>116.62057900000001</v>
      </c>
      <c r="X8" s="10">
        <v>172.0701674</v>
      </c>
      <c r="Y8" s="10">
        <v>116.91986350000001</v>
      </c>
      <c r="Z8" s="10">
        <v>162.6445052</v>
      </c>
      <c r="AA8" s="10">
        <v>168.7115699</v>
      </c>
      <c r="AB8" s="10">
        <v>122.37811139999999</v>
      </c>
      <c r="AC8" s="10">
        <v>182.8600261</v>
      </c>
      <c r="AD8" s="10">
        <v>156.47700359999999</v>
      </c>
      <c r="AE8" s="10">
        <v>144.38841149999999</v>
      </c>
      <c r="AF8" s="10">
        <v>121.8389488</v>
      </c>
      <c r="AG8" s="10">
        <v>172.7857114</v>
      </c>
      <c r="AH8" s="10">
        <f t="shared" si="0"/>
        <v>163.88555334666668</v>
      </c>
      <c r="AI8" s="11">
        <v>0.6</v>
      </c>
      <c r="AJ8" s="10">
        <f t="shared" si="1"/>
        <v>273.14258891111115</v>
      </c>
      <c r="AK8" s="10">
        <f t="shared" si="2"/>
        <v>2.7314258891111116</v>
      </c>
      <c r="AL8" s="12"/>
      <c r="AM8" s="11">
        <f t="shared" si="6"/>
        <v>0.8</v>
      </c>
      <c r="AN8" s="14">
        <f t="shared" si="3"/>
        <v>218.51407112888893</v>
      </c>
      <c r="AO8" s="10" t="s">
        <v>49</v>
      </c>
      <c r="AP8" s="14" t="s">
        <v>50</v>
      </c>
      <c r="AQ8" s="16" t="str">
        <f t="shared" ref="AQ8:AR8" si="11">IF(AS8&gt;1, "ON", "OFF")</f>
        <v>OFF</v>
      </c>
      <c r="AR8" s="16" t="str">
        <f t="shared" si="11"/>
        <v>ON</v>
      </c>
      <c r="AS8" s="15">
        <f>IF(AND(AN8&gt;index!$C$2, AO8="available", AP8="favourable"), index!$C$2, IF(AND(AO8="available", AP8="favourable"), AN8, 0))</f>
        <v>0</v>
      </c>
      <c r="AT8" s="14">
        <f t="shared" si="5"/>
        <v>218.51407112888893</v>
      </c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</row>
    <row r="9" spans="1:68">
      <c r="A9" s="10">
        <v>3</v>
      </c>
      <c r="B9" s="10">
        <v>10800</v>
      </c>
      <c r="C9" s="10">
        <v>90</v>
      </c>
      <c r="D9" s="10">
        <v>168.62678700000001</v>
      </c>
      <c r="E9" s="10">
        <v>149.25085110000001</v>
      </c>
      <c r="F9" s="10">
        <v>151.32308359999999</v>
      </c>
      <c r="G9" s="10">
        <v>107.5126324</v>
      </c>
      <c r="H9" s="10">
        <v>161.1267172</v>
      </c>
      <c r="I9" s="10">
        <v>144.1699897</v>
      </c>
      <c r="J9" s="10">
        <v>155.0174767</v>
      </c>
      <c r="K9" s="10">
        <v>178.21309049999999</v>
      </c>
      <c r="L9" s="10">
        <v>154.41680690000001</v>
      </c>
      <c r="M9" s="10">
        <v>177.05702740000001</v>
      </c>
      <c r="N9" s="10">
        <v>163.76595130000001</v>
      </c>
      <c r="O9" s="10">
        <v>115.63206390000001</v>
      </c>
      <c r="P9" s="10">
        <v>140.44368679999999</v>
      </c>
      <c r="Q9" s="10">
        <v>141.18064409999999</v>
      </c>
      <c r="R9" s="10">
        <v>110.64175400000001</v>
      </c>
      <c r="S9" s="10">
        <v>143.2943463</v>
      </c>
      <c r="T9" s="10">
        <v>128.3861655</v>
      </c>
      <c r="U9" s="10">
        <v>142.8805773</v>
      </c>
      <c r="V9" s="10">
        <v>155.076808</v>
      </c>
      <c r="W9" s="10">
        <v>166.86053150000001</v>
      </c>
      <c r="X9" s="10">
        <v>140.9571574</v>
      </c>
      <c r="Y9" s="10">
        <v>105.85355850000001</v>
      </c>
      <c r="Z9" s="10">
        <v>114.7119139</v>
      </c>
      <c r="AA9" s="10">
        <v>116.6581321</v>
      </c>
      <c r="AB9" s="10">
        <v>153.39952220000001</v>
      </c>
      <c r="AC9" s="10">
        <v>117.5275091</v>
      </c>
      <c r="AD9" s="10">
        <v>120.27634620000001</v>
      </c>
      <c r="AE9" s="10">
        <v>175.06177210000001</v>
      </c>
      <c r="AF9" s="10">
        <v>136.50185379999999</v>
      </c>
      <c r="AG9" s="10">
        <v>133.38910150000001</v>
      </c>
      <c r="AH9" s="10">
        <f t="shared" si="0"/>
        <v>142.3071286</v>
      </c>
      <c r="AI9" s="11">
        <v>0.6</v>
      </c>
      <c r="AJ9" s="10">
        <f t="shared" si="1"/>
        <v>237.17854766666667</v>
      </c>
      <c r="AK9" s="10">
        <f t="shared" si="2"/>
        <v>2.3717854766666666</v>
      </c>
      <c r="AL9" s="12"/>
      <c r="AM9" s="11">
        <f t="shared" si="6"/>
        <v>0.8</v>
      </c>
      <c r="AN9" s="14">
        <f t="shared" si="3"/>
        <v>189.74283813333335</v>
      </c>
      <c r="AO9" s="10" t="s">
        <v>49</v>
      </c>
      <c r="AP9" s="14" t="s">
        <v>50</v>
      </c>
      <c r="AQ9" s="16" t="str">
        <f t="shared" ref="AQ9:AR9" si="12">IF(AS9&gt;1, "ON", "OFF")</f>
        <v>OFF</v>
      </c>
      <c r="AR9" s="16" t="str">
        <f t="shared" si="12"/>
        <v>ON</v>
      </c>
      <c r="AS9" s="15">
        <f>IF(AND(AN9&gt;index!$C$2, AO9="available", AP9="favourable"), index!$C$2, IF(AND(AO9="available", AP9="favourable"), AN9, 0))</f>
        <v>0</v>
      </c>
      <c r="AT9" s="14">
        <f t="shared" si="5"/>
        <v>189.74283813333335</v>
      </c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</row>
    <row r="10" spans="1:68">
      <c r="A10" s="10">
        <v>3.5</v>
      </c>
      <c r="B10" s="10">
        <v>12600</v>
      </c>
      <c r="C10" s="10">
        <v>80</v>
      </c>
      <c r="D10" s="10">
        <v>140.7448096</v>
      </c>
      <c r="E10" s="10">
        <v>112.2860033</v>
      </c>
      <c r="F10" s="10">
        <v>134.08920879999999</v>
      </c>
      <c r="G10" s="10">
        <v>84.788541780000003</v>
      </c>
      <c r="H10" s="10">
        <v>146.43615370000001</v>
      </c>
      <c r="I10" s="10">
        <v>132.5596176</v>
      </c>
      <c r="J10" s="10">
        <v>128.12433709999999</v>
      </c>
      <c r="K10" s="10">
        <v>134.91612570000001</v>
      </c>
      <c r="L10" s="10">
        <v>92.036640509999998</v>
      </c>
      <c r="M10" s="10">
        <v>141.70401380000001</v>
      </c>
      <c r="N10" s="10">
        <v>117.2098448</v>
      </c>
      <c r="O10" s="10">
        <v>116.2358368</v>
      </c>
      <c r="P10" s="10">
        <v>122.4154777</v>
      </c>
      <c r="Q10" s="10">
        <v>99.026058160000005</v>
      </c>
      <c r="R10" s="10">
        <v>158.0629836</v>
      </c>
      <c r="S10" s="10">
        <v>118.22665069999999</v>
      </c>
      <c r="T10" s="10">
        <v>102.05925209999999</v>
      </c>
      <c r="U10" s="10">
        <v>111.5116797</v>
      </c>
      <c r="V10" s="10">
        <v>101.663836</v>
      </c>
      <c r="W10" s="10">
        <v>156.5410306</v>
      </c>
      <c r="X10" s="10">
        <v>136.16475969999999</v>
      </c>
      <c r="Y10" s="10">
        <v>138.34359430000001</v>
      </c>
      <c r="Z10" s="10">
        <v>119.01408790000001</v>
      </c>
      <c r="AA10" s="10">
        <v>93.483725949999993</v>
      </c>
      <c r="AB10" s="10">
        <v>134.4269635</v>
      </c>
      <c r="AC10" s="10">
        <v>97.600397779999994</v>
      </c>
      <c r="AD10" s="10">
        <v>97.912864220000003</v>
      </c>
      <c r="AE10" s="10">
        <v>111.39849150000001</v>
      </c>
      <c r="AF10" s="10">
        <v>88.595137660000006</v>
      </c>
      <c r="AG10" s="10">
        <v>124.5085689</v>
      </c>
      <c r="AH10" s="10">
        <f t="shared" si="0"/>
        <v>119.73622311533336</v>
      </c>
      <c r="AI10" s="11">
        <v>0.6</v>
      </c>
      <c r="AJ10" s="10">
        <f t="shared" si="1"/>
        <v>199.56037185888894</v>
      </c>
      <c r="AK10" s="10">
        <f t="shared" si="2"/>
        <v>1.9956037185888895</v>
      </c>
      <c r="AL10" s="12"/>
      <c r="AM10" s="11">
        <f t="shared" si="6"/>
        <v>0.8</v>
      </c>
      <c r="AN10" s="14">
        <f t="shared" si="3"/>
        <v>159.64829748711117</v>
      </c>
      <c r="AO10" s="10" t="s">
        <v>49</v>
      </c>
      <c r="AP10" s="14" t="s">
        <v>50</v>
      </c>
      <c r="AQ10" s="16" t="str">
        <f t="shared" ref="AQ10:AR10" si="13">IF(AS10&gt;1, "ON", "OFF")</f>
        <v>OFF</v>
      </c>
      <c r="AR10" s="16" t="str">
        <f t="shared" si="13"/>
        <v>ON</v>
      </c>
      <c r="AS10" s="15">
        <f>IF(AND(AN10&gt;index!$C$2, AO10="available", AP10="favourable"), index!$C$2, IF(AND(AO10="available", AP10="favourable"), AN10, 0))</f>
        <v>0</v>
      </c>
      <c r="AT10" s="14">
        <f t="shared" si="5"/>
        <v>159.64829748711117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</row>
    <row r="11" spans="1:68">
      <c r="A11" s="10">
        <v>4</v>
      </c>
      <c r="B11" s="10">
        <v>14400</v>
      </c>
      <c r="C11" s="10">
        <v>70</v>
      </c>
      <c r="D11" s="10">
        <v>110.3871218</v>
      </c>
      <c r="E11" s="10">
        <v>95.885168849999999</v>
      </c>
      <c r="F11" s="10">
        <v>70.544708020000002</v>
      </c>
      <c r="G11" s="10">
        <v>133.92592769999999</v>
      </c>
      <c r="H11" s="10">
        <v>94.627138430000002</v>
      </c>
      <c r="I11" s="10">
        <v>127.8662176</v>
      </c>
      <c r="J11" s="10">
        <v>75.073742339999995</v>
      </c>
      <c r="K11" s="10">
        <v>119.20109239999999</v>
      </c>
      <c r="L11" s="10">
        <v>121.1285737</v>
      </c>
      <c r="M11" s="10">
        <v>85.251089949999994</v>
      </c>
      <c r="N11" s="10">
        <v>132.42067840000001</v>
      </c>
      <c r="O11" s="10">
        <v>109.9139392</v>
      </c>
      <c r="P11" s="10">
        <v>87.916498570000002</v>
      </c>
      <c r="Q11" s="10">
        <v>95.908467389999998</v>
      </c>
      <c r="R11" s="10">
        <v>124.54015440000001</v>
      </c>
      <c r="S11" s="10">
        <v>99.715062369999998</v>
      </c>
      <c r="T11" s="10">
        <v>119.81704670000001</v>
      </c>
      <c r="U11" s="10">
        <v>138.21344959999999</v>
      </c>
      <c r="V11" s="10">
        <v>137.57214629999999</v>
      </c>
      <c r="W11" s="10">
        <v>132.54836649999999</v>
      </c>
      <c r="X11" s="10">
        <v>132.9986672</v>
      </c>
      <c r="Y11" s="10">
        <v>91.813533930000006</v>
      </c>
      <c r="Z11" s="10">
        <v>129.98452399999999</v>
      </c>
      <c r="AA11" s="10">
        <v>91.792063600000006</v>
      </c>
      <c r="AB11" s="10">
        <v>110.12373049999999</v>
      </c>
      <c r="AC11" s="10">
        <v>119.99287390000001</v>
      </c>
      <c r="AD11" s="10">
        <v>81.932791330000001</v>
      </c>
      <c r="AE11" s="10">
        <v>92.392198230000005</v>
      </c>
      <c r="AF11" s="10">
        <v>121.59273020000001</v>
      </c>
      <c r="AG11" s="10">
        <v>102.1710006</v>
      </c>
      <c r="AH11" s="10">
        <f t="shared" si="0"/>
        <v>109.57502345699999</v>
      </c>
      <c r="AI11" s="11">
        <v>0.6</v>
      </c>
      <c r="AJ11" s="10">
        <f t="shared" si="1"/>
        <v>182.62503909499998</v>
      </c>
      <c r="AK11" s="10">
        <f t="shared" si="2"/>
        <v>1.8262503909499999</v>
      </c>
      <c r="AL11" s="12"/>
      <c r="AM11" s="11">
        <f t="shared" si="6"/>
        <v>0.8</v>
      </c>
      <c r="AN11" s="14">
        <f t="shared" si="3"/>
        <v>146.10003127599998</v>
      </c>
      <c r="AO11" s="10" t="s">
        <v>49</v>
      </c>
      <c r="AP11" s="14" t="s">
        <v>50</v>
      </c>
      <c r="AQ11" s="16" t="str">
        <f t="shared" ref="AQ11:AR11" si="14">IF(AS11&gt;1, "ON", "OFF")</f>
        <v>OFF</v>
      </c>
      <c r="AR11" s="16" t="str">
        <f t="shared" si="14"/>
        <v>ON</v>
      </c>
      <c r="AS11" s="15">
        <f>IF(AND(AN11&gt;index!$C$2, AO11="available", AP11="favourable"), index!$C$2, IF(AND(AO11="available", AP11="favourable"), AN11, 0))</f>
        <v>0</v>
      </c>
      <c r="AT11" s="14">
        <f t="shared" si="5"/>
        <v>146.10003127599998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</row>
    <row r="12" spans="1:68">
      <c r="A12" s="10">
        <v>4.5</v>
      </c>
      <c r="B12" s="10">
        <v>16200</v>
      </c>
      <c r="C12" s="10">
        <v>60</v>
      </c>
      <c r="D12" s="10">
        <v>115.1577656</v>
      </c>
      <c r="E12" s="10">
        <v>67.63471079</v>
      </c>
      <c r="F12" s="10">
        <v>104.63863910000001</v>
      </c>
      <c r="G12" s="10">
        <v>82.959760590000002</v>
      </c>
      <c r="H12" s="10">
        <v>97.127153860000007</v>
      </c>
      <c r="I12" s="10">
        <v>117.14911429999999</v>
      </c>
      <c r="J12" s="10">
        <v>69.880666649999995</v>
      </c>
      <c r="K12" s="10">
        <v>72.817409850000004</v>
      </c>
      <c r="L12" s="10">
        <v>101.1198761</v>
      </c>
      <c r="M12" s="10">
        <v>86.478818959999998</v>
      </c>
      <c r="N12" s="10">
        <v>90.31653249</v>
      </c>
      <c r="O12" s="10">
        <v>69.698691240000002</v>
      </c>
      <c r="P12" s="10">
        <v>73.483180079999997</v>
      </c>
      <c r="Q12" s="10">
        <v>90.005591370000005</v>
      </c>
      <c r="R12" s="10">
        <v>99.079416039999998</v>
      </c>
      <c r="S12" s="10">
        <v>60.02822759</v>
      </c>
      <c r="T12" s="10">
        <v>61.776591089999997</v>
      </c>
      <c r="U12" s="10">
        <v>119.58337520000001</v>
      </c>
      <c r="V12" s="10">
        <v>77.084607239999997</v>
      </c>
      <c r="W12" s="10">
        <v>80.184106749999998</v>
      </c>
      <c r="X12" s="10">
        <v>83.174866710000003</v>
      </c>
      <c r="Y12" s="10">
        <v>106.61523990000001</v>
      </c>
      <c r="Z12" s="10">
        <v>74.998935279999998</v>
      </c>
      <c r="AA12" s="10">
        <v>118.1986361</v>
      </c>
      <c r="AB12" s="10">
        <v>83.844962749999993</v>
      </c>
      <c r="AC12" s="10">
        <v>80.276463730000003</v>
      </c>
      <c r="AD12" s="10">
        <v>106.9622289</v>
      </c>
      <c r="AE12" s="10">
        <v>90.803629839999999</v>
      </c>
      <c r="AF12" s="10">
        <v>99.76344856</v>
      </c>
      <c r="AG12" s="10">
        <v>87.971978410000006</v>
      </c>
      <c r="AH12" s="10">
        <f t="shared" si="0"/>
        <v>88.960487502333336</v>
      </c>
      <c r="AI12" s="11">
        <v>0.6</v>
      </c>
      <c r="AJ12" s="10">
        <f t="shared" si="1"/>
        <v>148.26747917055556</v>
      </c>
      <c r="AK12" s="10">
        <f t="shared" si="2"/>
        <v>1.4826747917055556</v>
      </c>
      <c r="AL12" s="12"/>
      <c r="AM12" s="11">
        <f t="shared" si="6"/>
        <v>0.8</v>
      </c>
      <c r="AN12" s="14">
        <f t="shared" si="3"/>
        <v>118.61398333644445</v>
      </c>
      <c r="AO12" s="10" t="s">
        <v>49</v>
      </c>
      <c r="AP12" s="14" t="s">
        <v>50</v>
      </c>
      <c r="AQ12" s="16" t="str">
        <f t="shared" ref="AQ12:AR12" si="15">IF(AS12&gt;1, "ON", "OFF")</f>
        <v>OFF</v>
      </c>
      <c r="AR12" s="16" t="str">
        <f t="shared" si="15"/>
        <v>ON</v>
      </c>
      <c r="AS12" s="15">
        <f>IF(AND(AN12&gt;index!$C$2, AO12="available", AP12="favourable"), index!$C$2, IF(AND(AO12="available", AP12="favourable"), AN12, 0))</f>
        <v>0</v>
      </c>
      <c r="AT12" s="14">
        <f t="shared" si="5"/>
        <v>118.61398333644445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</row>
    <row r="13" spans="1:68">
      <c r="A13" s="10">
        <v>5</v>
      </c>
      <c r="B13" s="10">
        <v>18000</v>
      </c>
      <c r="C13" s="10">
        <v>20</v>
      </c>
      <c r="D13" s="10">
        <v>36.86861854</v>
      </c>
      <c r="E13" s="10">
        <v>28.837476980000002</v>
      </c>
      <c r="F13" s="10">
        <v>27.497687299999999</v>
      </c>
      <c r="G13" s="10">
        <v>22.09821814</v>
      </c>
      <c r="H13" s="10">
        <v>36.862816690000002</v>
      </c>
      <c r="I13" s="10">
        <v>27.114319330000001</v>
      </c>
      <c r="J13" s="10">
        <v>38.233669749999997</v>
      </c>
      <c r="K13" s="10">
        <v>35.605481019999999</v>
      </c>
      <c r="L13" s="10">
        <v>39.848205049999997</v>
      </c>
      <c r="M13" s="10">
        <v>27.62550946</v>
      </c>
      <c r="N13" s="10">
        <v>36.974355199999998</v>
      </c>
      <c r="O13" s="10">
        <v>32.58473901</v>
      </c>
      <c r="P13" s="10">
        <v>23.749677599999998</v>
      </c>
      <c r="Q13" s="10">
        <v>29.779493729999999</v>
      </c>
      <c r="R13" s="10">
        <v>28.187759830000001</v>
      </c>
      <c r="S13" s="10">
        <v>27.729349110000001</v>
      </c>
      <c r="T13" s="10">
        <v>24.737477009999999</v>
      </c>
      <c r="U13" s="10">
        <v>29.988940960000001</v>
      </c>
      <c r="V13" s="10">
        <v>20.582984</v>
      </c>
      <c r="W13" s="10">
        <v>34.165507300000002</v>
      </c>
      <c r="X13" s="10">
        <v>35.065288950000003</v>
      </c>
      <c r="Y13" s="10">
        <v>28.694640079999999</v>
      </c>
      <c r="Z13" s="10">
        <v>32.859631630000003</v>
      </c>
      <c r="AA13" s="10">
        <v>20.76482764</v>
      </c>
      <c r="AB13" s="10">
        <v>25.251156210000001</v>
      </c>
      <c r="AC13" s="10">
        <v>35.179576849999997</v>
      </c>
      <c r="AD13" s="10">
        <v>29.24693688</v>
      </c>
      <c r="AE13" s="10">
        <v>25.18711914</v>
      </c>
      <c r="AF13" s="10">
        <v>37.246396599999997</v>
      </c>
      <c r="AG13" s="10">
        <v>30.359277209999998</v>
      </c>
      <c r="AH13" s="10">
        <f t="shared" si="0"/>
        <v>30.29757124</v>
      </c>
      <c r="AI13" s="11">
        <v>0.6</v>
      </c>
      <c r="AJ13" s="10">
        <f t="shared" si="1"/>
        <v>50.495952066666668</v>
      </c>
      <c r="AK13" s="10">
        <f t="shared" si="2"/>
        <v>0.50495952066666672</v>
      </c>
      <c r="AL13" s="12"/>
      <c r="AM13" s="11">
        <f t="shared" si="6"/>
        <v>0.8</v>
      </c>
      <c r="AN13" s="14">
        <f t="shared" si="3"/>
        <v>40.396761653333336</v>
      </c>
      <c r="AO13" s="10" t="s">
        <v>49</v>
      </c>
      <c r="AP13" s="14" t="s">
        <v>50</v>
      </c>
      <c r="AQ13" s="16" t="str">
        <f t="shared" ref="AQ13:AR13" si="16">IF(AS13&gt;1, "ON", "OFF")</f>
        <v>OFF</v>
      </c>
      <c r="AR13" s="16" t="str">
        <f t="shared" si="16"/>
        <v>ON</v>
      </c>
      <c r="AS13" s="15">
        <f>IF(AND(AN13&gt;index!$C$2, AO13="available", AP13="favourable"), index!$C$2, IF(AND(AO13="available", AP13="favourable"), AN13, 0))</f>
        <v>0</v>
      </c>
      <c r="AT13" s="14">
        <f t="shared" si="5"/>
        <v>40.396761653333336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</row>
    <row r="14" spans="1:68">
      <c r="A14" s="10">
        <v>5.5</v>
      </c>
      <c r="B14" s="10">
        <v>19800</v>
      </c>
      <c r="C14" s="10">
        <v>20</v>
      </c>
      <c r="D14" s="10">
        <v>22.426306440000001</v>
      </c>
      <c r="E14" s="10">
        <v>20.058743360000001</v>
      </c>
      <c r="F14" s="10">
        <v>38.914116180000001</v>
      </c>
      <c r="G14" s="10">
        <v>31.596102999999999</v>
      </c>
      <c r="H14" s="10">
        <v>35.449931360000001</v>
      </c>
      <c r="I14" s="10">
        <v>36.23679096</v>
      </c>
      <c r="J14" s="10">
        <v>30.193757909999999</v>
      </c>
      <c r="K14" s="10">
        <v>36.546956219999998</v>
      </c>
      <c r="L14" s="10">
        <v>37.084040909999999</v>
      </c>
      <c r="M14" s="10">
        <v>32.495296949999997</v>
      </c>
      <c r="N14" s="10">
        <v>28.579381219999998</v>
      </c>
      <c r="O14" s="10">
        <v>24.805185389999998</v>
      </c>
      <c r="P14" s="10">
        <v>33.66634964</v>
      </c>
      <c r="Q14" s="10">
        <v>21.814944730000001</v>
      </c>
      <c r="R14" s="10">
        <v>23.005118979999999</v>
      </c>
      <c r="S14" s="10">
        <v>33.004704840000002</v>
      </c>
      <c r="T14" s="10">
        <v>35.214980709999999</v>
      </c>
      <c r="U14" s="10">
        <v>34.612831139999997</v>
      </c>
      <c r="V14" s="10">
        <v>22.61721713</v>
      </c>
      <c r="W14" s="10">
        <v>38.229692900000003</v>
      </c>
      <c r="X14" s="10">
        <v>36.933614830000003</v>
      </c>
      <c r="Y14" s="10">
        <v>38.251262920000002</v>
      </c>
      <c r="Z14" s="10">
        <v>23.683784540000001</v>
      </c>
      <c r="AA14" s="10">
        <v>32.378140119999998</v>
      </c>
      <c r="AB14" s="10">
        <v>24.944390970000001</v>
      </c>
      <c r="AC14" s="10">
        <v>39.17521378</v>
      </c>
      <c r="AD14" s="10">
        <v>29.860220479999999</v>
      </c>
      <c r="AE14" s="10">
        <v>27.275825749999999</v>
      </c>
      <c r="AF14" s="10">
        <v>23.649286870000001</v>
      </c>
      <c r="AG14" s="10">
        <v>39.150762129999997</v>
      </c>
      <c r="AH14" s="10">
        <f t="shared" si="0"/>
        <v>31.061831745333333</v>
      </c>
      <c r="AI14" s="11">
        <v>0.6</v>
      </c>
      <c r="AJ14" s="10">
        <f t="shared" si="1"/>
        <v>51.769719575555555</v>
      </c>
      <c r="AK14" s="10">
        <f t="shared" si="2"/>
        <v>0.51769719575555551</v>
      </c>
      <c r="AL14" s="12"/>
      <c r="AM14" s="11">
        <f t="shared" si="6"/>
        <v>0.8</v>
      </c>
      <c r="AN14" s="14">
        <f t="shared" si="3"/>
        <v>41.415775660444446</v>
      </c>
      <c r="AO14" s="10" t="s">
        <v>49</v>
      </c>
      <c r="AP14" s="14" t="s">
        <v>50</v>
      </c>
      <c r="AQ14" s="16" t="str">
        <f t="shared" ref="AQ14:AR14" si="17">IF(AS14&gt;1, "ON", "OFF")</f>
        <v>OFF</v>
      </c>
      <c r="AR14" s="16" t="str">
        <f t="shared" si="17"/>
        <v>ON</v>
      </c>
      <c r="AS14" s="15">
        <f>IF(AND(AN14&gt;index!$C$2, AO14="available", AP14="favourable"), index!$C$2, IF(AND(AO14="available", AP14="favourable"), AN14, 0))</f>
        <v>0</v>
      </c>
      <c r="AT14" s="14">
        <f t="shared" si="5"/>
        <v>41.415775660444446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</row>
    <row r="15" spans="1:68">
      <c r="A15" s="10">
        <v>6</v>
      </c>
      <c r="B15" s="10">
        <v>21600</v>
      </c>
      <c r="C15" s="10">
        <v>50</v>
      </c>
      <c r="D15" s="10">
        <v>99.291392740000006</v>
      </c>
      <c r="E15" s="10">
        <v>92.674196069999994</v>
      </c>
      <c r="F15" s="10">
        <v>99.357485650000001</v>
      </c>
      <c r="G15" s="10">
        <v>86.097518820000005</v>
      </c>
      <c r="H15" s="10">
        <v>50.568080180000003</v>
      </c>
      <c r="I15" s="10">
        <v>51.539861039999998</v>
      </c>
      <c r="J15" s="10">
        <v>82.393377340000001</v>
      </c>
      <c r="K15" s="10">
        <v>75.615042470000006</v>
      </c>
      <c r="L15" s="10">
        <v>77.687880160000006</v>
      </c>
      <c r="M15" s="10">
        <v>80.569682569999998</v>
      </c>
      <c r="N15" s="10">
        <v>70.560582839999995</v>
      </c>
      <c r="O15" s="10">
        <v>73.775946570000002</v>
      </c>
      <c r="P15" s="10">
        <v>54.891849739999998</v>
      </c>
      <c r="Q15" s="10">
        <v>67.443054180000004</v>
      </c>
      <c r="R15" s="10">
        <v>95.044653409999995</v>
      </c>
      <c r="S15" s="10">
        <v>70.822205670000002</v>
      </c>
      <c r="T15" s="10">
        <v>65.075302179999994</v>
      </c>
      <c r="U15" s="10">
        <v>82.749098349999997</v>
      </c>
      <c r="V15" s="10">
        <v>79.774196989999993</v>
      </c>
      <c r="W15" s="10">
        <v>87.337944039999996</v>
      </c>
      <c r="X15" s="10">
        <v>88.153288869999997</v>
      </c>
      <c r="Y15" s="10">
        <v>58.008546189999997</v>
      </c>
      <c r="Z15" s="10">
        <v>88.558215090000004</v>
      </c>
      <c r="AA15" s="10">
        <v>64.930344349999999</v>
      </c>
      <c r="AB15" s="10">
        <v>62.348992090000003</v>
      </c>
      <c r="AC15" s="10">
        <v>91.933989030000006</v>
      </c>
      <c r="AD15" s="10">
        <v>63.042912020000003</v>
      </c>
      <c r="AE15" s="10">
        <v>91.737858099999997</v>
      </c>
      <c r="AF15" s="10">
        <v>79.747037199999994</v>
      </c>
      <c r="AG15" s="10">
        <v>84.886505839999998</v>
      </c>
      <c r="AH15" s="10">
        <f t="shared" si="0"/>
        <v>77.220567992999989</v>
      </c>
      <c r="AI15" s="11">
        <v>0.6</v>
      </c>
      <c r="AJ15" s="10">
        <f t="shared" si="1"/>
        <v>128.700946655</v>
      </c>
      <c r="AK15" s="10">
        <f t="shared" si="2"/>
        <v>1.28700946655</v>
      </c>
      <c r="AL15" s="12"/>
      <c r="AM15" s="11">
        <f t="shared" si="6"/>
        <v>0.8</v>
      </c>
      <c r="AN15" s="14">
        <f t="shared" si="3"/>
        <v>102.960757324</v>
      </c>
      <c r="AO15" s="10" t="s">
        <v>49</v>
      </c>
      <c r="AP15" s="14" t="s">
        <v>50</v>
      </c>
      <c r="AQ15" s="16" t="str">
        <f t="shared" ref="AQ15:AR15" si="18">IF(AS15&gt;1, "ON", "OFF")</f>
        <v>OFF</v>
      </c>
      <c r="AR15" s="16" t="str">
        <f t="shared" si="18"/>
        <v>ON</v>
      </c>
      <c r="AS15" s="15">
        <f>IF(AND(AN15&gt;index!$C$2, AO15="available", AP15="favourable"), index!$C$2, IF(AND(AO15="available", AP15="favourable"), AN15, 0))</f>
        <v>0</v>
      </c>
      <c r="AT15" s="14">
        <f t="shared" si="5"/>
        <v>102.960757324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</row>
    <row r="16" spans="1:68">
      <c r="A16" s="10">
        <v>6.5</v>
      </c>
      <c r="B16" s="10">
        <v>23400</v>
      </c>
      <c r="C16" s="10">
        <v>30</v>
      </c>
      <c r="D16" s="10">
        <v>41.747224330000002</v>
      </c>
      <c r="E16" s="10">
        <v>55.494396620000003</v>
      </c>
      <c r="F16" s="10">
        <v>38.453664809999999</v>
      </c>
      <c r="G16" s="10">
        <v>45.738916439999997</v>
      </c>
      <c r="H16" s="10">
        <v>30.5828013</v>
      </c>
      <c r="I16" s="10">
        <v>41.865459680000001</v>
      </c>
      <c r="J16" s="10">
        <v>37.738257750000002</v>
      </c>
      <c r="K16" s="10">
        <v>45.03660936</v>
      </c>
      <c r="L16" s="10">
        <v>53.387836450000002</v>
      </c>
      <c r="M16" s="10">
        <v>45.822182859999998</v>
      </c>
      <c r="N16" s="10">
        <v>49.095806510000003</v>
      </c>
      <c r="O16" s="10">
        <v>40.417155229999999</v>
      </c>
      <c r="P16" s="10">
        <v>42.159743259999999</v>
      </c>
      <c r="Q16" s="10">
        <v>53.577480289999997</v>
      </c>
      <c r="R16" s="10">
        <v>38.88257145</v>
      </c>
      <c r="S16" s="10">
        <v>56.345921179999998</v>
      </c>
      <c r="T16" s="10">
        <v>39.142530229999998</v>
      </c>
      <c r="U16" s="10">
        <v>34.748523300000002</v>
      </c>
      <c r="V16" s="10">
        <v>40.733513739999999</v>
      </c>
      <c r="W16" s="10">
        <v>43.48069066</v>
      </c>
      <c r="X16" s="10">
        <v>46.017906519999997</v>
      </c>
      <c r="Y16" s="10">
        <v>41.017989139999997</v>
      </c>
      <c r="Z16" s="10">
        <v>47.089481980000002</v>
      </c>
      <c r="AA16" s="10">
        <v>33.456095570000002</v>
      </c>
      <c r="AB16" s="10">
        <v>50.694798480000003</v>
      </c>
      <c r="AC16" s="10">
        <v>49.481208719999998</v>
      </c>
      <c r="AD16" s="10">
        <v>54.984727720000002</v>
      </c>
      <c r="AE16" s="10">
        <v>31.56889005</v>
      </c>
      <c r="AF16" s="10">
        <v>57.94883677</v>
      </c>
      <c r="AG16" s="10">
        <v>57.874814399999998</v>
      </c>
      <c r="AH16" s="10">
        <f t="shared" si="0"/>
        <v>44.819534493333336</v>
      </c>
      <c r="AI16" s="11">
        <v>0.6</v>
      </c>
      <c r="AJ16" s="10">
        <f t="shared" si="1"/>
        <v>74.699224155555569</v>
      </c>
      <c r="AK16" s="10">
        <f t="shared" si="2"/>
        <v>0.74699224155555566</v>
      </c>
      <c r="AL16" s="12"/>
      <c r="AM16" s="11">
        <f t="shared" si="6"/>
        <v>0.8</v>
      </c>
      <c r="AN16" s="14">
        <f t="shared" si="3"/>
        <v>59.75937932444446</v>
      </c>
      <c r="AO16" s="10" t="s">
        <v>49</v>
      </c>
      <c r="AP16" s="14" t="s">
        <v>50</v>
      </c>
      <c r="AQ16" s="16" t="str">
        <f t="shared" ref="AQ16:AR16" si="19">IF(AS16&gt;1, "ON", "OFF")</f>
        <v>OFF</v>
      </c>
      <c r="AR16" s="16" t="str">
        <f t="shared" si="19"/>
        <v>ON</v>
      </c>
      <c r="AS16" s="15">
        <f>IF(AND(AN16&gt;index!$C$2, AO16="available", AP16="favourable"), index!$C$2, IF(AND(AO16="available", AP16="favourable"), AN16, 0))</f>
        <v>0</v>
      </c>
      <c r="AT16" s="14">
        <f t="shared" si="5"/>
        <v>59.75937932444446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</row>
    <row r="17" spans="1:68">
      <c r="A17" s="10">
        <v>7</v>
      </c>
      <c r="B17" s="10">
        <v>25200</v>
      </c>
      <c r="C17" s="10">
        <v>100</v>
      </c>
      <c r="D17" s="10">
        <v>123.719441</v>
      </c>
      <c r="E17" s="10">
        <v>106.03072830000001</v>
      </c>
      <c r="F17" s="10">
        <v>139.6488774</v>
      </c>
      <c r="G17" s="10">
        <v>134.48830319999999</v>
      </c>
      <c r="H17" s="10">
        <v>188.2292076</v>
      </c>
      <c r="I17" s="10">
        <v>190.11456140000001</v>
      </c>
      <c r="J17" s="10">
        <v>134.5733376</v>
      </c>
      <c r="K17" s="10">
        <v>115.9302734</v>
      </c>
      <c r="L17" s="10">
        <v>105.12026210000001</v>
      </c>
      <c r="M17" s="10">
        <v>106.2206518</v>
      </c>
      <c r="N17" s="10">
        <v>182.38658000000001</v>
      </c>
      <c r="O17" s="10">
        <v>190.1243226</v>
      </c>
      <c r="P17" s="10">
        <v>181.62889509999999</v>
      </c>
      <c r="Q17" s="10">
        <v>109.8172995</v>
      </c>
      <c r="R17" s="10">
        <v>117.193804</v>
      </c>
      <c r="S17" s="10">
        <v>104.0554995</v>
      </c>
      <c r="T17" s="10">
        <v>114.7506934</v>
      </c>
      <c r="U17" s="10">
        <v>175.68998590000001</v>
      </c>
      <c r="V17" s="10">
        <v>188.74479650000001</v>
      </c>
      <c r="W17" s="10">
        <v>174.92963449999999</v>
      </c>
      <c r="X17" s="10">
        <v>102.8732284</v>
      </c>
      <c r="Y17" s="10">
        <v>189.9945428</v>
      </c>
      <c r="Z17" s="10">
        <v>171.14884040000001</v>
      </c>
      <c r="AA17" s="10">
        <v>162.30616240000001</v>
      </c>
      <c r="AB17" s="10">
        <v>129.1093363</v>
      </c>
      <c r="AC17" s="10">
        <v>171.95703409999999</v>
      </c>
      <c r="AD17" s="10">
        <v>130.16706959999999</v>
      </c>
      <c r="AE17" s="10">
        <v>165.54678250000001</v>
      </c>
      <c r="AF17" s="10">
        <v>189.06123049999999</v>
      </c>
      <c r="AG17" s="10">
        <v>167.67324009999999</v>
      </c>
      <c r="AH17" s="10">
        <f t="shared" si="0"/>
        <v>148.77448739666667</v>
      </c>
      <c r="AI17" s="11">
        <v>0.6</v>
      </c>
      <c r="AJ17" s="10">
        <f t="shared" si="1"/>
        <v>247.95747899444447</v>
      </c>
      <c r="AK17" s="10">
        <f t="shared" si="2"/>
        <v>2.4795747899444449</v>
      </c>
      <c r="AL17" s="12"/>
      <c r="AM17" s="11">
        <f t="shared" si="6"/>
        <v>0.8</v>
      </c>
      <c r="AN17" s="14">
        <f t="shared" si="3"/>
        <v>198.3659831955556</v>
      </c>
      <c r="AO17" s="10" t="s">
        <v>49</v>
      </c>
      <c r="AP17" s="14" t="s">
        <v>50</v>
      </c>
      <c r="AQ17" s="16" t="str">
        <f t="shared" ref="AQ17:AR17" si="20">IF(AS17&gt;1, "ON", "OFF")</f>
        <v>OFF</v>
      </c>
      <c r="AR17" s="16" t="str">
        <f t="shared" si="20"/>
        <v>ON</v>
      </c>
      <c r="AS17" s="15">
        <f>IF(AND(AN17&gt;index!$C$2, AO17="available", AP17="favourable"), index!$C$2, IF(AND(AO17="available", AP17="favourable"), AN17, 0))</f>
        <v>0</v>
      </c>
      <c r="AT17" s="14">
        <f t="shared" si="5"/>
        <v>198.3659831955556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</row>
    <row r="18" spans="1:68">
      <c r="A18" s="10">
        <v>7.5</v>
      </c>
      <c r="B18" s="10">
        <v>27000</v>
      </c>
      <c r="C18" s="10">
        <v>120</v>
      </c>
      <c r="D18" s="10">
        <v>155.97281430000001</v>
      </c>
      <c r="E18" s="10">
        <v>198.5775185</v>
      </c>
      <c r="F18" s="10">
        <v>192.2480722</v>
      </c>
      <c r="G18" s="10">
        <v>147.84822679999999</v>
      </c>
      <c r="H18" s="10">
        <v>229.77465319999999</v>
      </c>
      <c r="I18" s="10">
        <v>147.77366309999999</v>
      </c>
      <c r="J18" s="10">
        <v>203.3481773</v>
      </c>
      <c r="K18" s="10">
        <v>150.58520799999999</v>
      </c>
      <c r="L18" s="10">
        <v>151.0705911</v>
      </c>
      <c r="M18" s="10">
        <v>136.41235589999999</v>
      </c>
      <c r="N18" s="10">
        <v>189.43091699999999</v>
      </c>
      <c r="O18" s="10">
        <v>192.89964000000001</v>
      </c>
      <c r="P18" s="10">
        <v>217.73259880000001</v>
      </c>
      <c r="Q18" s="10">
        <v>220.81867449999999</v>
      </c>
      <c r="R18" s="10">
        <v>200.0053255</v>
      </c>
      <c r="S18" s="10">
        <v>152.71173730000001</v>
      </c>
      <c r="T18" s="10">
        <v>125.9420686</v>
      </c>
      <c r="U18" s="10">
        <v>152.28609850000001</v>
      </c>
      <c r="V18" s="10">
        <v>188.5204895</v>
      </c>
      <c r="W18" s="10">
        <v>216.93037899999999</v>
      </c>
      <c r="X18" s="10">
        <v>198.56495090000001</v>
      </c>
      <c r="Y18" s="10">
        <v>172.63569649999999</v>
      </c>
      <c r="Z18" s="10">
        <v>215.44443179999999</v>
      </c>
      <c r="AA18" s="10">
        <v>176.9159932</v>
      </c>
      <c r="AB18" s="10">
        <v>156.73917589999999</v>
      </c>
      <c r="AC18" s="10">
        <v>163.11380819999999</v>
      </c>
      <c r="AD18" s="10">
        <v>201.58447949999999</v>
      </c>
      <c r="AE18" s="10">
        <v>236.5970169</v>
      </c>
      <c r="AF18" s="10">
        <v>192.81585089999999</v>
      </c>
      <c r="AG18" s="10">
        <v>201.55823899999999</v>
      </c>
      <c r="AH18" s="10">
        <f t="shared" si="0"/>
        <v>182.89529506333335</v>
      </c>
      <c r="AI18" s="11">
        <v>0.6</v>
      </c>
      <c r="AJ18" s="10">
        <f t="shared" si="1"/>
        <v>304.82549177222228</v>
      </c>
      <c r="AK18" s="10">
        <f t="shared" si="2"/>
        <v>3.0482549177222227</v>
      </c>
      <c r="AL18" s="12"/>
      <c r="AM18" s="11">
        <f t="shared" si="6"/>
        <v>0.8</v>
      </c>
      <c r="AN18" s="14">
        <f t="shared" si="3"/>
        <v>243.86039341777783</v>
      </c>
      <c r="AO18" s="10" t="s">
        <v>49</v>
      </c>
      <c r="AP18" s="14" t="s">
        <v>50</v>
      </c>
      <c r="AQ18" s="16" t="str">
        <f t="shared" ref="AQ18:AR18" si="21">IF(AS18&gt;1, "ON", "OFF")</f>
        <v>OFF</v>
      </c>
      <c r="AR18" s="16" t="str">
        <f t="shared" si="21"/>
        <v>ON</v>
      </c>
      <c r="AS18" s="15">
        <f>IF(AND(AN18&gt;index!$C$2, AO18="available", AP18="favourable"), index!$C$2, IF(AND(AO18="available", AP18="favourable"), AN18, 0))</f>
        <v>0</v>
      </c>
      <c r="AT18" s="14">
        <f t="shared" si="5"/>
        <v>243.86039341777783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</row>
    <row r="19" spans="1:68">
      <c r="A19" s="10">
        <v>8</v>
      </c>
      <c r="B19" s="10">
        <v>28800</v>
      </c>
      <c r="C19" s="10">
        <v>130</v>
      </c>
      <c r="D19" s="10">
        <v>176.98553459999999</v>
      </c>
      <c r="E19" s="10">
        <v>194.5066137</v>
      </c>
      <c r="F19" s="10">
        <v>150.7997575</v>
      </c>
      <c r="G19" s="10">
        <v>163.00403539999999</v>
      </c>
      <c r="H19" s="10">
        <v>138.02046300000001</v>
      </c>
      <c r="I19" s="10">
        <v>177.18205459999999</v>
      </c>
      <c r="J19" s="10">
        <v>172.7390824</v>
      </c>
      <c r="K19" s="10">
        <v>245.84812909999999</v>
      </c>
      <c r="L19" s="10">
        <v>170.00798130000001</v>
      </c>
      <c r="M19" s="10">
        <v>164.92961560000001</v>
      </c>
      <c r="N19" s="10">
        <v>258.23537270000003</v>
      </c>
      <c r="O19" s="10">
        <v>212.74431469999999</v>
      </c>
      <c r="P19" s="10">
        <v>252.7881132</v>
      </c>
      <c r="Q19" s="10">
        <v>230.83944550000001</v>
      </c>
      <c r="R19" s="10">
        <v>238.2421319</v>
      </c>
      <c r="S19" s="10">
        <v>235.53094970000001</v>
      </c>
      <c r="T19" s="10">
        <v>255.39532600000001</v>
      </c>
      <c r="U19" s="10">
        <v>164.6520376</v>
      </c>
      <c r="V19" s="10">
        <v>259.3153969</v>
      </c>
      <c r="W19" s="10">
        <v>140.6924918</v>
      </c>
      <c r="X19" s="10">
        <v>134.03434899999999</v>
      </c>
      <c r="Y19" s="10">
        <v>171.35177669999999</v>
      </c>
      <c r="Z19" s="10">
        <v>231.88990010000001</v>
      </c>
      <c r="AA19" s="10">
        <v>248.22104490000001</v>
      </c>
      <c r="AB19" s="10">
        <v>139.79788550000001</v>
      </c>
      <c r="AC19" s="10">
        <v>238.98105799999999</v>
      </c>
      <c r="AD19" s="10">
        <v>202.3773186</v>
      </c>
      <c r="AE19" s="10">
        <v>210.83085030000001</v>
      </c>
      <c r="AF19" s="10">
        <v>229.54216500000001</v>
      </c>
      <c r="AG19" s="10">
        <v>184.0245103</v>
      </c>
      <c r="AH19" s="10">
        <f t="shared" si="0"/>
        <v>199.78365685333333</v>
      </c>
      <c r="AI19" s="11">
        <v>0.6</v>
      </c>
      <c r="AJ19" s="10">
        <f t="shared" si="1"/>
        <v>332.97276142222222</v>
      </c>
      <c r="AK19" s="10">
        <f t="shared" si="2"/>
        <v>3.3297276142222221</v>
      </c>
      <c r="AL19" s="12"/>
      <c r="AM19" s="11">
        <f t="shared" si="6"/>
        <v>0.8</v>
      </c>
      <c r="AN19" s="14">
        <f t="shared" si="3"/>
        <v>266.37820913777779</v>
      </c>
      <c r="AO19" s="10" t="s">
        <v>49</v>
      </c>
      <c r="AP19" s="14" t="s">
        <v>50</v>
      </c>
      <c r="AQ19" s="16" t="str">
        <f t="shared" ref="AQ19:AR19" si="22">IF(AS19&gt;1, "ON", "OFF")</f>
        <v>OFF</v>
      </c>
      <c r="AR19" s="16" t="str">
        <f t="shared" si="22"/>
        <v>ON</v>
      </c>
      <c r="AS19" s="15">
        <f>IF(AND(AN19&gt;index!$C$2, AO19="available", AP19="favourable"), index!$C$2, IF(AND(AO19="available", AP19="favourable"), AN19, 0))</f>
        <v>0</v>
      </c>
      <c r="AT19" s="14">
        <f t="shared" si="5"/>
        <v>266.37820913777779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1:68">
      <c r="A20" s="10">
        <v>8.5</v>
      </c>
      <c r="B20" s="10">
        <v>30600</v>
      </c>
      <c r="C20" s="10">
        <v>140</v>
      </c>
      <c r="D20" s="10">
        <v>226.1909181</v>
      </c>
      <c r="E20" s="10">
        <v>167.82751519999999</v>
      </c>
      <c r="F20" s="10">
        <v>249.5114074</v>
      </c>
      <c r="G20" s="10">
        <v>193.60266780000001</v>
      </c>
      <c r="H20" s="10">
        <v>216.26012009999999</v>
      </c>
      <c r="I20" s="10">
        <v>270.30425000000002</v>
      </c>
      <c r="J20" s="10">
        <v>187.63128990000001</v>
      </c>
      <c r="K20" s="10">
        <v>168.8098281</v>
      </c>
      <c r="L20" s="10">
        <v>213.61044079999999</v>
      </c>
      <c r="M20" s="10">
        <v>160.75769750000001</v>
      </c>
      <c r="N20" s="10">
        <v>173.51812190000001</v>
      </c>
      <c r="O20" s="10">
        <v>222.47402980000001</v>
      </c>
      <c r="P20" s="10">
        <v>229.51339369999999</v>
      </c>
      <c r="Q20" s="10">
        <v>261.80107170000002</v>
      </c>
      <c r="R20" s="10">
        <v>144.92706419999999</v>
      </c>
      <c r="S20" s="10">
        <v>161.4187609</v>
      </c>
      <c r="T20" s="10">
        <v>165.26117980000001</v>
      </c>
      <c r="U20" s="10">
        <v>196.5040315</v>
      </c>
      <c r="V20" s="10">
        <v>200.22634669999999</v>
      </c>
      <c r="W20" s="10">
        <v>178.20053960000001</v>
      </c>
      <c r="X20" s="10">
        <v>228.6304945</v>
      </c>
      <c r="Y20" s="10">
        <v>206.24992460000001</v>
      </c>
      <c r="Z20" s="10">
        <v>228.64020450000001</v>
      </c>
      <c r="AA20" s="10">
        <v>214.5108128</v>
      </c>
      <c r="AB20" s="10">
        <v>268.64264700000001</v>
      </c>
      <c r="AC20" s="10">
        <v>277.01913930000001</v>
      </c>
      <c r="AD20" s="10">
        <v>171.7869666</v>
      </c>
      <c r="AE20" s="10">
        <v>202.7694491</v>
      </c>
      <c r="AF20" s="10">
        <v>214.2550301</v>
      </c>
      <c r="AG20" s="10">
        <v>244.5770574</v>
      </c>
      <c r="AH20" s="10">
        <f t="shared" si="0"/>
        <v>208.18108002000002</v>
      </c>
      <c r="AI20" s="11">
        <v>0.6</v>
      </c>
      <c r="AJ20" s="10">
        <f t="shared" si="1"/>
        <v>346.96846670000008</v>
      </c>
      <c r="AK20" s="10">
        <f t="shared" si="2"/>
        <v>3.469684667000001</v>
      </c>
      <c r="AL20" s="12"/>
      <c r="AM20" s="11">
        <f t="shared" si="6"/>
        <v>0.8</v>
      </c>
      <c r="AN20" s="14">
        <f t="shared" si="3"/>
        <v>277.57477336000005</v>
      </c>
      <c r="AO20" s="17" t="s">
        <v>49</v>
      </c>
      <c r="AP20" s="14" t="s">
        <v>50</v>
      </c>
      <c r="AQ20" s="16" t="str">
        <f t="shared" ref="AQ20:AR20" si="23">IF(AS20&gt;1, "ON", "OFF")</f>
        <v>OFF</v>
      </c>
      <c r="AR20" s="16" t="str">
        <f t="shared" si="23"/>
        <v>ON</v>
      </c>
      <c r="AS20" s="15">
        <f>IF(AND(AN20&gt;index!$C$2, AO20="available", AP20="favourable"), index!$C$2, IF(AND(AO20="available", AP20="favourable"), AN20, 0))</f>
        <v>0</v>
      </c>
      <c r="AT20" s="14">
        <f t="shared" si="5"/>
        <v>277.57477336000005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</row>
    <row r="21" spans="1:68">
      <c r="A21" s="10">
        <v>9</v>
      </c>
      <c r="B21" s="10">
        <v>32400</v>
      </c>
      <c r="C21" s="10">
        <v>150</v>
      </c>
      <c r="D21" s="10">
        <v>158.55298730000001</v>
      </c>
      <c r="E21" s="10">
        <v>169.19470079999999</v>
      </c>
      <c r="F21" s="10">
        <v>231.10504660000001</v>
      </c>
      <c r="G21" s="10">
        <v>205.43975979999999</v>
      </c>
      <c r="H21" s="10">
        <v>280.87504289999998</v>
      </c>
      <c r="I21" s="10">
        <v>227.07363720000001</v>
      </c>
      <c r="J21" s="10">
        <v>283.5707185</v>
      </c>
      <c r="K21" s="10">
        <v>211.3829503</v>
      </c>
      <c r="L21" s="10">
        <v>268.8643596</v>
      </c>
      <c r="M21" s="10">
        <v>212.71328370000001</v>
      </c>
      <c r="N21" s="10">
        <v>174.26312970000001</v>
      </c>
      <c r="O21" s="10">
        <v>221.20286630000001</v>
      </c>
      <c r="P21" s="10">
        <v>204.52105159999999</v>
      </c>
      <c r="Q21" s="10">
        <v>254.0481437</v>
      </c>
      <c r="R21" s="10">
        <v>293.52375119999999</v>
      </c>
      <c r="S21" s="10">
        <v>180.29239200000001</v>
      </c>
      <c r="T21" s="10">
        <v>231.55143820000001</v>
      </c>
      <c r="U21" s="10">
        <v>232.87331330000001</v>
      </c>
      <c r="V21" s="10">
        <v>208.62241750000001</v>
      </c>
      <c r="W21" s="10">
        <v>217.93232370000001</v>
      </c>
      <c r="X21" s="10">
        <v>162.2172894</v>
      </c>
      <c r="Y21" s="10">
        <v>169.2533157</v>
      </c>
      <c r="Z21" s="10">
        <v>283.43062600000002</v>
      </c>
      <c r="AA21" s="10">
        <v>237.0687216</v>
      </c>
      <c r="AB21" s="10">
        <v>217.99346990000001</v>
      </c>
      <c r="AC21" s="10">
        <v>292.0354322</v>
      </c>
      <c r="AD21" s="10">
        <v>222.1330974</v>
      </c>
      <c r="AE21" s="10">
        <v>226.2920019</v>
      </c>
      <c r="AF21" s="10">
        <v>265.65934399999998</v>
      </c>
      <c r="AG21" s="10">
        <v>218.93518230000001</v>
      </c>
      <c r="AH21" s="10">
        <f t="shared" si="0"/>
        <v>225.4207264766666</v>
      </c>
      <c r="AI21" s="11">
        <v>0.6</v>
      </c>
      <c r="AJ21" s="10">
        <f t="shared" si="1"/>
        <v>375.70121079444436</v>
      </c>
      <c r="AK21" s="10">
        <f t="shared" si="2"/>
        <v>3.7570121079444436</v>
      </c>
      <c r="AL21" s="12"/>
      <c r="AM21" s="11">
        <f t="shared" si="6"/>
        <v>0.8</v>
      </c>
      <c r="AN21" s="14">
        <f t="shared" si="3"/>
        <v>300.56096863555553</v>
      </c>
      <c r="AO21" s="17" t="s">
        <v>51</v>
      </c>
      <c r="AP21" s="15" t="s">
        <v>52</v>
      </c>
      <c r="AQ21" s="16" t="str">
        <f t="shared" ref="AQ21:AR21" si="24">IF(AS21&gt;1, "ON", "OFF")</f>
        <v>ON</v>
      </c>
      <c r="AR21" s="16" t="str">
        <f t="shared" si="24"/>
        <v>OFF</v>
      </c>
      <c r="AS21" s="15">
        <f>IF(AND(AN21&gt;index!$C$2, AO21="available", AP21="favourable"), index!$C$2, IF(AND(AO21="available", AP21="favourable"), AN21, 0))</f>
        <v>300.56096863555553</v>
      </c>
      <c r="AT21" s="14">
        <f t="shared" si="5"/>
        <v>0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</row>
    <row r="22" spans="1:68" ht="15.75" customHeight="1">
      <c r="A22" s="10">
        <v>9.5</v>
      </c>
      <c r="B22" s="10">
        <v>34200</v>
      </c>
      <c r="C22" s="10">
        <v>160</v>
      </c>
      <c r="D22" s="10">
        <v>312.42828780000002</v>
      </c>
      <c r="E22" s="10">
        <v>317.43351569999999</v>
      </c>
      <c r="F22" s="10">
        <v>243.5961891</v>
      </c>
      <c r="G22" s="10">
        <v>307.07498020000003</v>
      </c>
      <c r="H22" s="10">
        <v>286.68903519999998</v>
      </c>
      <c r="I22" s="10">
        <v>163.9022736</v>
      </c>
      <c r="J22" s="10">
        <v>317.59106750000001</v>
      </c>
      <c r="K22" s="10">
        <v>173.9579348</v>
      </c>
      <c r="L22" s="10">
        <v>288.66593690000002</v>
      </c>
      <c r="M22" s="10">
        <v>226.83403659999999</v>
      </c>
      <c r="N22" s="10">
        <v>279.07861459999998</v>
      </c>
      <c r="O22" s="10">
        <v>245.7609382</v>
      </c>
      <c r="P22" s="10">
        <v>315.77471800000001</v>
      </c>
      <c r="Q22" s="10">
        <v>232.7442892</v>
      </c>
      <c r="R22" s="10">
        <v>256.2643028</v>
      </c>
      <c r="S22" s="10">
        <v>214.923359</v>
      </c>
      <c r="T22" s="10">
        <v>309.76587119999999</v>
      </c>
      <c r="U22" s="10">
        <v>255.0480431</v>
      </c>
      <c r="V22" s="10">
        <v>285.02606950000001</v>
      </c>
      <c r="W22" s="10">
        <v>275.12455829999999</v>
      </c>
      <c r="X22" s="10">
        <v>291.40426819999999</v>
      </c>
      <c r="Y22" s="10">
        <v>231.34270419999999</v>
      </c>
      <c r="Z22" s="10">
        <v>255.0241001</v>
      </c>
      <c r="AA22" s="10">
        <v>262.0603496</v>
      </c>
      <c r="AB22" s="10">
        <v>250.3097339</v>
      </c>
      <c r="AC22" s="10">
        <v>235.13245130000001</v>
      </c>
      <c r="AD22" s="10">
        <v>208.5463455</v>
      </c>
      <c r="AE22" s="10">
        <v>181.09147899999999</v>
      </c>
      <c r="AF22" s="10">
        <v>183.1657663</v>
      </c>
      <c r="AG22" s="10">
        <v>290.041833</v>
      </c>
      <c r="AH22" s="10">
        <f t="shared" si="0"/>
        <v>256.52676841333334</v>
      </c>
      <c r="AI22" s="11">
        <v>0.6</v>
      </c>
      <c r="AJ22" s="10">
        <f t="shared" si="1"/>
        <v>427.54461402222228</v>
      </c>
      <c r="AK22" s="10">
        <f t="shared" si="2"/>
        <v>4.2754461402222228</v>
      </c>
      <c r="AL22" s="12"/>
      <c r="AM22" s="11">
        <f t="shared" si="6"/>
        <v>0.8</v>
      </c>
      <c r="AN22" s="14">
        <f t="shared" si="3"/>
        <v>342.03569121777787</v>
      </c>
      <c r="AO22" s="17" t="s">
        <v>51</v>
      </c>
      <c r="AP22" s="15" t="s">
        <v>52</v>
      </c>
      <c r="AQ22" s="16" t="str">
        <f t="shared" ref="AQ22:AR22" si="25">IF(AS22&gt;1, "ON", "OFF")</f>
        <v>ON</v>
      </c>
      <c r="AR22" s="16" t="str">
        <f t="shared" si="25"/>
        <v>OFF</v>
      </c>
      <c r="AS22" s="15">
        <f>IF(AND(AN22&gt;index!$C$2, AO22="available", AP22="favourable"), index!$C$2, IF(AND(AO22="available", AP22="favourable"), AN22, 0))</f>
        <v>342.03569121777787</v>
      </c>
      <c r="AT22" s="14">
        <f t="shared" si="5"/>
        <v>0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</row>
    <row r="23" spans="1:68" ht="15.75" customHeight="1">
      <c r="A23" s="10">
        <v>10</v>
      </c>
      <c r="B23" s="10">
        <v>36000</v>
      </c>
      <c r="C23" s="10">
        <v>150</v>
      </c>
      <c r="D23" s="10">
        <v>239.77035179999999</v>
      </c>
      <c r="E23" s="10">
        <v>156.32238359999999</v>
      </c>
      <c r="F23" s="10">
        <v>250.11088169999999</v>
      </c>
      <c r="G23" s="10">
        <v>193.14202929999999</v>
      </c>
      <c r="H23" s="10">
        <v>210.7163334</v>
      </c>
      <c r="I23" s="10">
        <v>181.77176729999999</v>
      </c>
      <c r="J23" s="10">
        <v>187.07914679999999</v>
      </c>
      <c r="K23" s="10">
        <v>227.75756459999999</v>
      </c>
      <c r="L23" s="10">
        <v>253.5980222</v>
      </c>
      <c r="M23" s="10">
        <v>193.62511670000001</v>
      </c>
      <c r="N23" s="10">
        <v>260.31584299999997</v>
      </c>
      <c r="O23" s="10">
        <v>270.21572529999997</v>
      </c>
      <c r="P23" s="10">
        <v>222.67195860000001</v>
      </c>
      <c r="Q23" s="10">
        <v>166.42516749999999</v>
      </c>
      <c r="R23" s="10">
        <v>254.7378258</v>
      </c>
      <c r="S23" s="10">
        <v>274.00253090000001</v>
      </c>
      <c r="T23" s="10">
        <v>233.15359559999999</v>
      </c>
      <c r="U23" s="10">
        <v>184.35949059999999</v>
      </c>
      <c r="V23" s="10">
        <v>199.62923180000001</v>
      </c>
      <c r="W23" s="10">
        <v>226.45469080000001</v>
      </c>
      <c r="X23" s="10">
        <v>236.82357949999999</v>
      </c>
      <c r="Y23" s="10">
        <v>202.2490626</v>
      </c>
      <c r="Z23" s="10">
        <v>200.0297032</v>
      </c>
      <c r="AA23" s="10">
        <v>259.77565529999998</v>
      </c>
      <c r="AB23" s="10">
        <v>243.68731650000001</v>
      </c>
      <c r="AC23" s="10">
        <v>243.02058589999999</v>
      </c>
      <c r="AD23" s="10">
        <v>292.99231930000002</v>
      </c>
      <c r="AE23" s="10">
        <v>221.47451749999999</v>
      </c>
      <c r="AF23" s="10">
        <v>255.36688079999999</v>
      </c>
      <c r="AG23" s="10">
        <v>267.82143789999998</v>
      </c>
      <c r="AH23" s="10">
        <f t="shared" si="0"/>
        <v>226.97002385999997</v>
      </c>
      <c r="AI23" s="11">
        <v>0.6</v>
      </c>
      <c r="AJ23" s="10">
        <f t="shared" si="1"/>
        <v>378.28337309999995</v>
      </c>
      <c r="AK23" s="10">
        <f t="shared" si="2"/>
        <v>3.7828337309999993</v>
      </c>
      <c r="AL23" s="12"/>
      <c r="AM23" s="11">
        <f t="shared" si="6"/>
        <v>0.8</v>
      </c>
      <c r="AN23" s="14">
        <f t="shared" si="3"/>
        <v>302.62669847999996</v>
      </c>
      <c r="AO23" s="17" t="s">
        <v>51</v>
      </c>
      <c r="AP23" s="15" t="s">
        <v>50</v>
      </c>
      <c r="AQ23" s="16" t="str">
        <f t="shared" ref="AQ23:AR23" si="26">IF(AS23&gt;1, "ON", "OFF")</f>
        <v>OFF</v>
      </c>
      <c r="AR23" s="16" t="str">
        <f t="shared" si="26"/>
        <v>ON</v>
      </c>
      <c r="AS23" s="15">
        <f>IF(AND(AN23&gt;index!$C$2, AO23="available", AP23="favourable"), index!$C$2, IF(AND(AO23="available", AP23="favourable"), AN23, 0))</f>
        <v>0</v>
      </c>
      <c r="AT23" s="14">
        <f t="shared" si="5"/>
        <v>302.62669847999996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</row>
    <row r="24" spans="1:68" ht="15.75" customHeight="1">
      <c r="A24" s="10">
        <v>10.5</v>
      </c>
      <c r="B24" s="10">
        <v>37800</v>
      </c>
      <c r="C24" s="10">
        <v>300</v>
      </c>
      <c r="D24" s="10">
        <v>370.49164660000002</v>
      </c>
      <c r="E24" s="10">
        <v>306.26061970000001</v>
      </c>
      <c r="F24" s="10">
        <v>487.9826923</v>
      </c>
      <c r="G24" s="10">
        <v>591.19451509999999</v>
      </c>
      <c r="H24" s="10">
        <v>501.06330750000001</v>
      </c>
      <c r="I24" s="10">
        <v>549.43763630000001</v>
      </c>
      <c r="J24" s="10">
        <v>337.50328960000002</v>
      </c>
      <c r="K24" s="10">
        <v>375.09260829999999</v>
      </c>
      <c r="L24" s="10">
        <v>300.28219990000002</v>
      </c>
      <c r="M24" s="10">
        <v>346.67618160000001</v>
      </c>
      <c r="N24" s="10">
        <v>311.31109070000002</v>
      </c>
      <c r="O24" s="10">
        <v>495.70319869999997</v>
      </c>
      <c r="P24" s="10">
        <v>381.99954589999999</v>
      </c>
      <c r="Q24" s="10">
        <v>564.33800040000006</v>
      </c>
      <c r="R24" s="10">
        <v>323.78107290000003</v>
      </c>
      <c r="S24" s="10">
        <v>441.78195160000001</v>
      </c>
      <c r="T24" s="10">
        <v>440.28419409999998</v>
      </c>
      <c r="U24" s="10">
        <v>377.46727620000001</v>
      </c>
      <c r="V24" s="10">
        <v>335.59949460000001</v>
      </c>
      <c r="W24" s="10">
        <v>410.34125089999998</v>
      </c>
      <c r="X24" s="10">
        <v>386.9226324</v>
      </c>
      <c r="Y24" s="10">
        <v>521.90058380000005</v>
      </c>
      <c r="Z24" s="10">
        <v>426.1336761</v>
      </c>
      <c r="AA24" s="10">
        <v>563.02913220000005</v>
      </c>
      <c r="AB24" s="10">
        <v>356.27008569999998</v>
      </c>
      <c r="AC24" s="10">
        <v>391.1376042</v>
      </c>
      <c r="AD24" s="10">
        <v>523.53883949999999</v>
      </c>
      <c r="AE24" s="10">
        <v>482.9310132</v>
      </c>
      <c r="AF24" s="10">
        <v>501.6542445</v>
      </c>
      <c r="AG24" s="10">
        <v>471.73302059999997</v>
      </c>
      <c r="AH24" s="10">
        <f t="shared" si="0"/>
        <v>429.12808683666657</v>
      </c>
      <c r="AI24" s="11">
        <v>0.6</v>
      </c>
      <c r="AJ24" s="10">
        <f t="shared" si="1"/>
        <v>715.213478061111</v>
      </c>
      <c r="AK24" s="10">
        <f t="shared" si="2"/>
        <v>7.1521347806111102</v>
      </c>
      <c r="AL24" s="12"/>
      <c r="AM24" s="11">
        <f t="shared" si="6"/>
        <v>0.8</v>
      </c>
      <c r="AN24" s="14">
        <f t="shared" si="3"/>
        <v>572.17078244888887</v>
      </c>
      <c r="AO24" s="17" t="s">
        <v>51</v>
      </c>
      <c r="AP24" s="15" t="s">
        <v>52</v>
      </c>
      <c r="AQ24" s="16" t="str">
        <f t="shared" ref="AQ24:AR24" si="27">IF(AS24&gt;1, "ON", "OFF")</f>
        <v>ON</v>
      </c>
      <c r="AR24" s="16" t="str">
        <f t="shared" si="27"/>
        <v>ON</v>
      </c>
      <c r="AS24" s="15">
        <f>IF(AND(AN24&gt;index!$C$2, AO24="available", AP24="favourable"), index!$C$2, IF(AND(AO24="available", AP24="favourable"), AN24, 0))</f>
        <v>500</v>
      </c>
      <c r="AT24" s="14">
        <f t="shared" si="5"/>
        <v>72.170782448888872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</row>
    <row r="25" spans="1:68" ht="15.75" customHeight="1">
      <c r="A25" s="10">
        <v>11</v>
      </c>
      <c r="B25" s="10">
        <v>39600</v>
      </c>
      <c r="C25" s="10">
        <v>320</v>
      </c>
      <c r="D25" s="10">
        <v>484.18284699999998</v>
      </c>
      <c r="E25" s="10">
        <v>559.06057769999995</v>
      </c>
      <c r="F25" s="10">
        <v>472.54074919999999</v>
      </c>
      <c r="G25" s="10">
        <v>348.42035420000002</v>
      </c>
      <c r="H25" s="10">
        <v>582.54424319999998</v>
      </c>
      <c r="I25" s="10">
        <v>613.98761190000005</v>
      </c>
      <c r="J25" s="10">
        <v>558.29351989999998</v>
      </c>
      <c r="K25" s="10">
        <v>481.42908920000002</v>
      </c>
      <c r="L25" s="10">
        <v>520.60863289999998</v>
      </c>
      <c r="M25" s="10">
        <v>582.02606430000003</v>
      </c>
      <c r="N25" s="10">
        <v>390.25088419999997</v>
      </c>
      <c r="O25" s="10">
        <v>332.26202769999998</v>
      </c>
      <c r="P25" s="10">
        <v>399.19281969999997</v>
      </c>
      <c r="Q25" s="10">
        <v>477.63269330000003</v>
      </c>
      <c r="R25" s="10">
        <v>434.207559</v>
      </c>
      <c r="S25" s="10">
        <v>397.54304869999999</v>
      </c>
      <c r="T25" s="10">
        <v>469.26511219999998</v>
      </c>
      <c r="U25" s="10">
        <v>619.57749160000003</v>
      </c>
      <c r="V25" s="10">
        <v>407.15811650000001</v>
      </c>
      <c r="W25" s="10">
        <v>386.28855370000002</v>
      </c>
      <c r="X25" s="10">
        <v>554.76609619999999</v>
      </c>
      <c r="Y25" s="10">
        <v>469.69630119999999</v>
      </c>
      <c r="Z25" s="10">
        <v>362.94339400000001</v>
      </c>
      <c r="AA25" s="10">
        <v>500.18346430000003</v>
      </c>
      <c r="AB25" s="10">
        <v>350.40924869999998</v>
      </c>
      <c r="AC25" s="10">
        <v>622.15675290000001</v>
      </c>
      <c r="AD25" s="10">
        <v>606.42923519999999</v>
      </c>
      <c r="AE25" s="10">
        <v>366.72605670000002</v>
      </c>
      <c r="AF25" s="10">
        <v>638.24045660000002</v>
      </c>
      <c r="AG25" s="10">
        <v>495.135831</v>
      </c>
      <c r="AH25" s="10">
        <f t="shared" si="0"/>
        <v>482.7719610966667</v>
      </c>
      <c r="AI25" s="11">
        <v>0.6</v>
      </c>
      <c r="AJ25" s="10">
        <f t="shared" si="1"/>
        <v>804.61993516111124</v>
      </c>
      <c r="AK25" s="10">
        <f t="shared" si="2"/>
        <v>8.0461993516111132</v>
      </c>
      <c r="AL25" s="12"/>
      <c r="AM25" s="11">
        <f t="shared" si="6"/>
        <v>0.8</v>
      </c>
      <c r="AN25" s="14">
        <f t="shared" si="3"/>
        <v>643.69594812888909</v>
      </c>
      <c r="AO25" s="17" t="s">
        <v>51</v>
      </c>
      <c r="AP25" s="15" t="s">
        <v>52</v>
      </c>
      <c r="AQ25" s="16" t="str">
        <f t="shared" ref="AQ25:AR25" si="28">IF(AS25&gt;1, "ON", "OFF")</f>
        <v>ON</v>
      </c>
      <c r="AR25" s="16" t="str">
        <f t="shared" si="28"/>
        <v>ON</v>
      </c>
      <c r="AS25" s="15">
        <f>IF(AND(AN25&gt;index!$C$2, AO25="available", AP25="favourable"), index!$C$2, IF(AND(AO25="available", AP25="favourable"), AN25, 0))</f>
        <v>500</v>
      </c>
      <c r="AT25" s="14">
        <f t="shared" si="5"/>
        <v>143.69594812888909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</row>
    <row r="26" spans="1:68" ht="15.75" customHeight="1">
      <c r="A26" s="10">
        <v>11.5</v>
      </c>
      <c r="B26" s="10">
        <v>41400</v>
      </c>
      <c r="C26" s="10">
        <v>300</v>
      </c>
      <c r="D26" s="10">
        <v>318.59970759999999</v>
      </c>
      <c r="E26" s="10">
        <v>371.63463560000002</v>
      </c>
      <c r="F26" s="10">
        <v>575.62873930000001</v>
      </c>
      <c r="G26" s="10">
        <v>371.96830210000002</v>
      </c>
      <c r="H26" s="10">
        <v>561.2894685</v>
      </c>
      <c r="I26" s="10">
        <v>542.00830810000002</v>
      </c>
      <c r="J26" s="10">
        <v>512.92517150000003</v>
      </c>
      <c r="K26" s="10">
        <v>307.85960069999999</v>
      </c>
      <c r="L26" s="10">
        <v>526.27561009999999</v>
      </c>
      <c r="M26" s="10">
        <v>583.82997379999995</v>
      </c>
      <c r="N26" s="10">
        <v>501.26728379999997</v>
      </c>
      <c r="O26" s="10">
        <v>486.2675132</v>
      </c>
      <c r="P26" s="10">
        <v>354.7203538</v>
      </c>
      <c r="Q26" s="10">
        <v>381.68878339999998</v>
      </c>
      <c r="R26" s="10">
        <v>522.28354090000005</v>
      </c>
      <c r="S26" s="10">
        <v>401.18998329999999</v>
      </c>
      <c r="T26" s="10">
        <v>491.4909151</v>
      </c>
      <c r="U26" s="10">
        <v>550.68146760000002</v>
      </c>
      <c r="V26" s="10">
        <v>555.80657189999999</v>
      </c>
      <c r="W26" s="10">
        <v>580.7607663</v>
      </c>
      <c r="X26" s="10">
        <v>382.05810580000002</v>
      </c>
      <c r="Y26" s="10">
        <v>496.9880364</v>
      </c>
      <c r="Z26" s="10">
        <v>315.25783319999999</v>
      </c>
      <c r="AA26" s="10">
        <v>394.69896249999999</v>
      </c>
      <c r="AB26" s="10">
        <v>402.77035840000002</v>
      </c>
      <c r="AC26" s="10">
        <v>329.22484939999998</v>
      </c>
      <c r="AD26" s="10">
        <v>313.07480900000002</v>
      </c>
      <c r="AE26" s="10">
        <v>434.69799940000001</v>
      </c>
      <c r="AF26" s="10">
        <v>362.2879878</v>
      </c>
      <c r="AG26" s="10">
        <v>375.95063379999999</v>
      </c>
      <c r="AH26" s="10">
        <f t="shared" si="0"/>
        <v>443.50620907666666</v>
      </c>
      <c r="AI26" s="11">
        <v>0.6</v>
      </c>
      <c r="AJ26" s="10">
        <f t="shared" si="1"/>
        <v>739.17701512777785</v>
      </c>
      <c r="AK26" s="10">
        <f t="shared" si="2"/>
        <v>7.3917701512777789</v>
      </c>
      <c r="AL26" s="12"/>
      <c r="AM26" s="11">
        <f t="shared" si="6"/>
        <v>0.8</v>
      </c>
      <c r="AN26" s="14">
        <f t="shared" si="3"/>
        <v>591.34161210222226</v>
      </c>
      <c r="AO26" s="17" t="s">
        <v>51</v>
      </c>
      <c r="AP26" s="15" t="s">
        <v>52</v>
      </c>
      <c r="AQ26" s="16" t="str">
        <f t="shared" ref="AQ26:AR26" si="29">IF(AS26&gt;1, "ON", "OFF")</f>
        <v>ON</v>
      </c>
      <c r="AR26" s="16" t="str">
        <f t="shared" si="29"/>
        <v>ON</v>
      </c>
      <c r="AS26" s="15">
        <f>IF(AND(AN26&gt;index!$C$2, AO26="available", AP26="favourable"), index!$C$2, IF(AND(AO26="available", AP26="favourable"), AN26, 0))</f>
        <v>500</v>
      </c>
      <c r="AT26" s="14">
        <f t="shared" si="5"/>
        <v>91.341612102222257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</row>
    <row r="27" spans="1:68" ht="15.75" customHeight="1">
      <c r="A27" s="10">
        <v>12</v>
      </c>
      <c r="B27" s="10">
        <v>43200</v>
      </c>
      <c r="C27" s="10">
        <v>320</v>
      </c>
      <c r="D27" s="10">
        <v>379.94914</v>
      </c>
      <c r="E27" s="10">
        <v>459.27456740000002</v>
      </c>
      <c r="F27" s="10">
        <v>438.81350090000001</v>
      </c>
      <c r="G27" s="10">
        <v>430.19161009999999</v>
      </c>
      <c r="H27" s="10">
        <v>457.41422940000001</v>
      </c>
      <c r="I27" s="10">
        <v>338.5837669</v>
      </c>
      <c r="J27" s="10">
        <v>543.36605699999996</v>
      </c>
      <c r="K27" s="10">
        <v>342.03478289999998</v>
      </c>
      <c r="L27" s="10">
        <v>637.25798180000004</v>
      </c>
      <c r="M27" s="10">
        <v>389.45546209999998</v>
      </c>
      <c r="N27" s="10">
        <v>457.35749900000002</v>
      </c>
      <c r="O27" s="10">
        <v>427.57606040000002</v>
      </c>
      <c r="P27" s="10">
        <v>574.55939709999996</v>
      </c>
      <c r="Q27" s="10">
        <v>440.60785349999998</v>
      </c>
      <c r="R27" s="10">
        <v>430.76305639999998</v>
      </c>
      <c r="S27" s="10">
        <v>587.25176829999998</v>
      </c>
      <c r="T27" s="10">
        <v>362.67445170000002</v>
      </c>
      <c r="U27" s="10">
        <v>570.36140869999997</v>
      </c>
      <c r="V27" s="10">
        <v>567.93827699999997</v>
      </c>
      <c r="W27" s="10">
        <v>624.54106309999997</v>
      </c>
      <c r="X27" s="10">
        <v>396.95551269999999</v>
      </c>
      <c r="Y27" s="10">
        <v>381.88808690000002</v>
      </c>
      <c r="Z27" s="10">
        <v>613.61796079999999</v>
      </c>
      <c r="AA27" s="10">
        <v>530.97444870000004</v>
      </c>
      <c r="AB27" s="10">
        <v>368.51984850000002</v>
      </c>
      <c r="AC27" s="10">
        <v>590.21162389999995</v>
      </c>
      <c r="AD27" s="10">
        <v>515.95675400000005</v>
      </c>
      <c r="AE27" s="10">
        <v>322.13627250000002</v>
      </c>
      <c r="AF27" s="10">
        <v>600.10845200000006</v>
      </c>
      <c r="AG27" s="10">
        <v>409.81591809999998</v>
      </c>
      <c r="AH27" s="10">
        <f t="shared" si="0"/>
        <v>473.00522705999998</v>
      </c>
      <c r="AI27" s="11">
        <v>0.6</v>
      </c>
      <c r="AJ27" s="10">
        <f t="shared" si="1"/>
        <v>788.34204509999995</v>
      </c>
      <c r="AK27" s="10">
        <f t="shared" si="2"/>
        <v>7.8834204509999992</v>
      </c>
      <c r="AL27" s="12"/>
      <c r="AM27" s="11">
        <f t="shared" si="6"/>
        <v>0.8</v>
      </c>
      <c r="AN27" s="14">
        <f t="shared" si="3"/>
        <v>630.67363608000005</v>
      </c>
      <c r="AO27" s="17" t="s">
        <v>51</v>
      </c>
      <c r="AP27" s="15" t="s">
        <v>50</v>
      </c>
      <c r="AQ27" s="16" t="str">
        <f t="shared" ref="AQ27:AR27" si="30">IF(AS27&gt;1, "ON", "OFF")</f>
        <v>OFF</v>
      </c>
      <c r="AR27" s="16" t="str">
        <f t="shared" si="30"/>
        <v>ON</v>
      </c>
      <c r="AS27" s="15">
        <f>IF(AND(AN27&gt;index!$C$2, AO27="available", AP27="favourable"), index!$C$2, IF(AND(AO27="available", AP27="favourable"), AN27, 0))</f>
        <v>0</v>
      </c>
      <c r="AT27" s="14">
        <f t="shared" si="5"/>
        <v>630.67363608000005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</row>
    <row r="28" spans="1:68" ht="15.75" customHeight="1">
      <c r="A28" s="10">
        <v>12.5</v>
      </c>
      <c r="B28" s="10">
        <v>45000</v>
      </c>
      <c r="C28" s="10">
        <v>350</v>
      </c>
      <c r="D28" s="10">
        <v>466.03273630000001</v>
      </c>
      <c r="E28" s="10">
        <v>488.01147750000001</v>
      </c>
      <c r="F28" s="10">
        <v>442.56102609999999</v>
      </c>
      <c r="G28" s="10">
        <v>565.95585080000001</v>
      </c>
      <c r="H28" s="10">
        <v>598.6010192</v>
      </c>
      <c r="I28" s="10">
        <v>694.89911089999998</v>
      </c>
      <c r="J28" s="10">
        <v>490.3243056</v>
      </c>
      <c r="K28" s="10">
        <v>566.9111279</v>
      </c>
      <c r="L28" s="10">
        <v>612.49127739999994</v>
      </c>
      <c r="M28" s="10">
        <v>634.7346417</v>
      </c>
      <c r="N28" s="10">
        <v>412.63875580000001</v>
      </c>
      <c r="O28" s="10">
        <v>461.43979589999998</v>
      </c>
      <c r="P28" s="10">
        <v>434.25512309999999</v>
      </c>
      <c r="Q28" s="10">
        <v>353.63126929999999</v>
      </c>
      <c r="R28" s="10">
        <v>691.74743990000002</v>
      </c>
      <c r="S28" s="10">
        <v>492.38973879999998</v>
      </c>
      <c r="T28" s="10">
        <v>646.04510879999998</v>
      </c>
      <c r="U28" s="10">
        <v>454.39279429999999</v>
      </c>
      <c r="V28" s="10">
        <v>673.37028950000001</v>
      </c>
      <c r="W28" s="10">
        <v>379.3023895</v>
      </c>
      <c r="X28" s="10">
        <v>410.4191644</v>
      </c>
      <c r="Y28" s="10">
        <v>438.57016190000002</v>
      </c>
      <c r="Z28" s="10">
        <v>635.87686740000004</v>
      </c>
      <c r="AA28" s="10">
        <v>641.79829110000003</v>
      </c>
      <c r="AB28" s="10">
        <v>402.15005689999998</v>
      </c>
      <c r="AC28" s="10">
        <v>436.63789409999998</v>
      </c>
      <c r="AD28" s="10">
        <v>356.4631402</v>
      </c>
      <c r="AE28" s="10">
        <v>361.80200660000003</v>
      </c>
      <c r="AF28" s="10">
        <v>575.70451500000001</v>
      </c>
      <c r="AG28" s="10">
        <v>641.8773185</v>
      </c>
      <c r="AH28" s="10">
        <f t="shared" si="0"/>
        <v>515.36782314666675</v>
      </c>
      <c r="AI28" s="11">
        <v>0.6</v>
      </c>
      <c r="AJ28" s="10">
        <f t="shared" si="1"/>
        <v>858.94637191111133</v>
      </c>
      <c r="AK28" s="10">
        <f t="shared" si="2"/>
        <v>8.5894637191111141</v>
      </c>
      <c r="AL28" s="12"/>
      <c r="AM28" s="11">
        <f t="shared" si="6"/>
        <v>0.8</v>
      </c>
      <c r="AN28" s="14">
        <f t="shared" si="3"/>
        <v>687.15709752888915</v>
      </c>
      <c r="AO28" s="17" t="s">
        <v>51</v>
      </c>
      <c r="AP28" s="15" t="s">
        <v>52</v>
      </c>
      <c r="AQ28" s="16" t="str">
        <f t="shared" ref="AQ28:AR28" si="31">IF(AS28&gt;1, "ON", "OFF")</f>
        <v>ON</v>
      </c>
      <c r="AR28" s="16" t="str">
        <f t="shared" si="31"/>
        <v>ON</v>
      </c>
      <c r="AS28" s="15">
        <f>IF(AND(AN28&gt;index!$C$2, AO28="available", AP28="favourable"), index!$C$2, IF(AND(AO28="available", AP28="favourable"), AN28, 0))</f>
        <v>500</v>
      </c>
      <c r="AT28" s="14">
        <f t="shared" si="5"/>
        <v>187.15709752888915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</row>
    <row r="29" spans="1:68" ht="15.75" customHeight="1">
      <c r="A29" s="10">
        <v>13</v>
      </c>
      <c r="B29" s="10">
        <v>46800</v>
      </c>
      <c r="C29" s="10">
        <v>360</v>
      </c>
      <c r="D29" s="10">
        <v>650.4997525</v>
      </c>
      <c r="E29" s="10">
        <v>376.51764359999999</v>
      </c>
      <c r="F29" s="10">
        <v>479.38565410000001</v>
      </c>
      <c r="G29" s="10">
        <v>442.30630600000001</v>
      </c>
      <c r="H29" s="10">
        <v>665.14030679999996</v>
      </c>
      <c r="I29" s="10">
        <v>678.32819180000001</v>
      </c>
      <c r="J29" s="10">
        <v>416.27401529999997</v>
      </c>
      <c r="K29" s="10">
        <v>623.0466457</v>
      </c>
      <c r="L29" s="10">
        <v>475.3229359</v>
      </c>
      <c r="M29" s="10">
        <v>665.9664884</v>
      </c>
      <c r="N29" s="10">
        <v>571.3879048</v>
      </c>
      <c r="O29" s="10">
        <v>389.32612920000003</v>
      </c>
      <c r="P29" s="10">
        <v>432.30365</v>
      </c>
      <c r="Q29" s="10">
        <v>555.37820720000002</v>
      </c>
      <c r="R29" s="10">
        <v>657.83745180000005</v>
      </c>
      <c r="S29" s="10">
        <v>535.27586329999997</v>
      </c>
      <c r="T29" s="10">
        <v>464.6889157</v>
      </c>
      <c r="U29" s="10">
        <v>465.09725309999999</v>
      </c>
      <c r="V29" s="10">
        <v>476.91941170000001</v>
      </c>
      <c r="W29" s="10">
        <v>382.5018556</v>
      </c>
      <c r="X29" s="10">
        <v>571.37784639999995</v>
      </c>
      <c r="Y29" s="10">
        <v>464.17428910000001</v>
      </c>
      <c r="Z29" s="10">
        <v>471.40444250000002</v>
      </c>
      <c r="AA29" s="10">
        <v>388.1819155</v>
      </c>
      <c r="AB29" s="10">
        <v>545.68311930000004</v>
      </c>
      <c r="AC29" s="10">
        <v>501.83874630000003</v>
      </c>
      <c r="AD29" s="10">
        <v>381.53134169999998</v>
      </c>
      <c r="AE29" s="10">
        <v>551.49898759999996</v>
      </c>
      <c r="AF29" s="10">
        <v>542.58476189999999</v>
      </c>
      <c r="AG29" s="10">
        <v>650.46668560000001</v>
      </c>
      <c r="AH29" s="10">
        <f t="shared" si="0"/>
        <v>515.74155727999994</v>
      </c>
      <c r="AI29" s="11">
        <v>0.6</v>
      </c>
      <c r="AJ29" s="10">
        <f t="shared" si="1"/>
        <v>859.56926213333327</v>
      </c>
      <c r="AK29" s="10">
        <f t="shared" si="2"/>
        <v>8.5956926213333329</v>
      </c>
      <c r="AL29" s="12"/>
      <c r="AM29" s="11">
        <f t="shared" si="6"/>
        <v>0.8</v>
      </c>
      <c r="AN29" s="14">
        <f t="shared" si="3"/>
        <v>687.65540970666666</v>
      </c>
      <c r="AO29" s="17" t="s">
        <v>51</v>
      </c>
      <c r="AP29" s="15" t="s">
        <v>52</v>
      </c>
      <c r="AQ29" s="16" t="str">
        <f t="shared" ref="AQ29:AR29" si="32">IF(AS29&gt;1, "ON", "OFF")</f>
        <v>ON</v>
      </c>
      <c r="AR29" s="16" t="str">
        <f t="shared" si="32"/>
        <v>ON</v>
      </c>
      <c r="AS29" s="15">
        <f>IF(AND(AN29&gt;index!$C$2, AO29="available", AP29="favourable"), index!$C$2, IF(AND(AO29="available", AP29="favourable"), AN29, 0))</f>
        <v>500</v>
      </c>
      <c r="AT29" s="14">
        <f t="shared" si="5"/>
        <v>187.65540970666666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</row>
    <row r="30" spans="1:68" ht="15.75" customHeight="1">
      <c r="A30" s="10">
        <v>13.5</v>
      </c>
      <c r="B30" s="10">
        <v>48600</v>
      </c>
      <c r="C30" s="10">
        <v>325</v>
      </c>
      <c r="D30" s="10">
        <v>334.59154150000001</v>
      </c>
      <c r="E30" s="10">
        <v>572.42644819999998</v>
      </c>
      <c r="F30" s="10">
        <v>462.75399590000001</v>
      </c>
      <c r="G30" s="10">
        <v>385.6233158</v>
      </c>
      <c r="H30" s="10">
        <v>364.9458649</v>
      </c>
      <c r="I30" s="10">
        <v>362.11341220000003</v>
      </c>
      <c r="J30" s="10">
        <v>356.13500420000003</v>
      </c>
      <c r="K30" s="10">
        <v>438.76124720000001</v>
      </c>
      <c r="L30" s="10">
        <v>386.1054006</v>
      </c>
      <c r="M30" s="10">
        <v>458.41270650000001</v>
      </c>
      <c r="N30" s="10">
        <v>490.92929020000003</v>
      </c>
      <c r="O30" s="10">
        <v>382.71757500000001</v>
      </c>
      <c r="P30" s="10">
        <v>625.26417079999999</v>
      </c>
      <c r="Q30" s="10">
        <v>411.0530114</v>
      </c>
      <c r="R30" s="10">
        <v>628.52769929999999</v>
      </c>
      <c r="S30" s="10">
        <v>377.49936309999998</v>
      </c>
      <c r="T30" s="10">
        <v>643.57694319999996</v>
      </c>
      <c r="U30" s="10">
        <v>638.13469889999999</v>
      </c>
      <c r="V30" s="10">
        <v>370.74186079999998</v>
      </c>
      <c r="W30" s="10">
        <v>330.24003870000001</v>
      </c>
      <c r="X30" s="10">
        <v>480.02755980000001</v>
      </c>
      <c r="Y30" s="10">
        <v>579.21885069999996</v>
      </c>
      <c r="Z30" s="10">
        <v>350.6197904</v>
      </c>
      <c r="AA30" s="10">
        <v>602.63956199999996</v>
      </c>
      <c r="AB30" s="10">
        <v>529.66492400000004</v>
      </c>
      <c r="AC30" s="10">
        <v>561.32960060000005</v>
      </c>
      <c r="AD30" s="10">
        <v>330.43065319999999</v>
      </c>
      <c r="AE30" s="10">
        <v>481.02272579999999</v>
      </c>
      <c r="AF30" s="10">
        <v>505.15882970000001</v>
      </c>
      <c r="AG30" s="10">
        <v>625.86147349999999</v>
      </c>
      <c r="AH30" s="10">
        <f t="shared" si="0"/>
        <v>468.8842519366666</v>
      </c>
      <c r="AI30" s="11">
        <v>0.6</v>
      </c>
      <c r="AJ30" s="10">
        <f t="shared" si="1"/>
        <v>781.47375322777771</v>
      </c>
      <c r="AK30" s="10">
        <f t="shared" si="2"/>
        <v>7.8147375322777775</v>
      </c>
      <c r="AL30" s="12"/>
      <c r="AM30" s="11">
        <f t="shared" si="6"/>
        <v>0.8</v>
      </c>
      <c r="AN30" s="14">
        <f t="shared" si="3"/>
        <v>625.17900258222221</v>
      </c>
      <c r="AO30" s="17" t="s">
        <v>51</v>
      </c>
      <c r="AP30" s="14" t="s">
        <v>50</v>
      </c>
      <c r="AQ30" s="16" t="str">
        <f t="shared" ref="AQ30:AR30" si="33">IF(AS30&gt;1, "ON", "OFF")</f>
        <v>OFF</v>
      </c>
      <c r="AR30" s="16" t="str">
        <f t="shared" si="33"/>
        <v>ON</v>
      </c>
      <c r="AS30" s="15">
        <f>IF(AND(AN30&gt;index!$C$2, AO30="available", AP30="favourable"), index!$C$2, IF(AND(AO30="available", AP30="favourable"), AN30, 0))</f>
        <v>0</v>
      </c>
      <c r="AT30" s="14">
        <f t="shared" si="5"/>
        <v>625.17900258222221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</row>
    <row r="31" spans="1:68" ht="15.75" customHeight="1">
      <c r="A31" s="10">
        <v>14</v>
      </c>
      <c r="B31" s="10">
        <v>50400</v>
      </c>
      <c r="C31" s="10">
        <v>320</v>
      </c>
      <c r="D31" s="10">
        <v>622.39037180000003</v>
      </c>
      <c r="E31" s="10">
        <v>402.1880476</v>
      </c>
      <c r="F31" s="10">
        <v>633.9482908</v>
      </c>
      <c r="G31" s="10">
        <v>336.7669823</v>
      </c>
      <c r="H31" s="10">
        <v>329.23953</v>
      </c>
      <c r="I31" s="10">
        <v>419.89200039999997</v>
      </c>
      <c r="J31" s="10">
        <v>630.36472170000002</v>
      </c>
      <c r="K31" s="10">
        <v>494.60169760000002</v>
      </c>
      <c r="L31" s="10">
        <v>601.3862378</v>
      </c>
      <c r="M31" s="10">
        <v>452.39135169999997</v>
      </c>
      <c r="N31" s="10">
        <v>354.05855659999997</v>
      </c>
      <c r="O31" s="10">
        <v>540.6615984</v>
      </c>
      <c r="P31" s="10">
        <v>611.53282709999996</v>
      </c>
      <c r="Q31" s="10">
        <v>516.46319849999998</v>
      </c>
      <c r="R31" s="10">
        <v>351.84583470000001</v>
      </c>
      <c r="S31" s="10">
        <v>632.22581030000003</v>
      </c>
      <c r="T31" s="10">
        <v>382.8394108</v>
      </c>
      <c r="U31" s="10">
        <v>531.17490569999995</v>
      </c>
      <c r="V31" s="10">
        <v>399.54798249999999</v>
      </c>
      <c r="W31" s="10">
        <v>399.4946041</v>
      </c>
      <c r="X31" s="10">
        <v>491.66818840000002</v>
      </c>
      <c r="Y31" s="10">
        <v>443.20445919999997</v>
      </c>
      <c r="Z31" s="10">
        <v>369.64569219999998</v>
      </c>
      <c r="AA31" s="10">
        <v>619.28996549999999</v>
      </c>
      <c r="AB31" s="10">
        <v>377.35527619999999</v>
      </c>
      <c r="AC31" s="10">
        <v>532.45346900000004</v>
      </c>
      <c r="AD31" s="10">
        <v>596.52680239999995</v>
      </c>
      <c r="AE31" s="10">
        <v>417.80670559999999</v>
      </c>
      <c r="AF31" s="10">
        <v>518.75679490000005</v>
      </c>
      <c r="AG31" s="10">
        <v>464.84206890000002</v>
      </c>
      <c r="AH31" s="10">
        <f t="shared" si="0"/>
        <v>482.48544608999998</v>
      </c>
      <c r="AI31" s="11">
        <v>0.6</v>
      </c>
      <c r="AJ31" s="10">
        <f t="shared" si="1"/>
        <v>804.14241015000005</v>
      </c>
      <c r="AK31" s="10">
        <f t="shared" si="2"/>
        <v>8.0414241015000005</v>
      </c>
      <c r="AL31" s="12"/>
      <c r="AM31" s="11">
        <f t="shared" si="6"/>
        <v>0.8</v>
      </c>
      <c r="AN31" s="14">
        <f t="shared" si="3"/>
        <v>643.31392812000013</v>
      </c>
      <c r="AO31" s="17" t="s">
        <v>51</v>
      </c>
      <c r="AP31" s="15" t="s">
        <v>52</v>
      </c>
      <c r="AQ31" s="16" t="str">
        <f t="shared" ref="AQ31:AR31" si="34">IF(AS31&gt;1, "ON", "OFF")</f>
        <v>ON</v>
      </c>
      <c r="AR31" s="16" t="str">
        <f t="shared" si="34"/>
        <v>ON</v>
      </c>
      <c r="AS31" s="15">
        <f>IF(AND(AN31&gt;index!$C$2, AO31="available", AP31="favourable"), index!$C$2, IF(AND(AO31="available", AP31="favourable"), AN31, 0))</f>
        <v>500</v>
      </c>
      <c r="AT31" s="14">
        <f t="shared" si="5"/>
        <v>143.31392812000013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1:68" ht="15.75" customHeight="1">
      <c r="A32" s="10">
        <v>14.5</v>
      </c>
      <c r="B32" s="10">
        <v>52200</v>
      </c>
      <c r="C32" s="10">
        <v>400</v>
      </c>
      <c r="D32" s="10">
        <v>649.71356800000001</v>
      </c>
      <c r="E32" s="10">
        <v>477.31321650000001</v>
      </c>
      <c r="F32" s="10">
        <v>514.54904150000004</v>
      </c>
      <c r="G32" s="10">
        <v>744.8775018</v>
      </c>
      <c r="H32" s="10">
        <v>403.63423410000001</v>
      </c>
      <c r="I32" s="10">
        <v>770.11152089999996</v>
      </c>
      <c r="J32" s="10">
        <v>536.71004649999998</v>
      </c>
      <c r="K32" s="10">
        <v>746.00933510000004</v>
      </c>
      <c r="L32" s="10">
        <v>712.28220329999999</v>
      </c>
      <c r="M32" s="10">
        <v>758.06272620000004</v>
      </c>
      <c r="N32" s="10">
        <v>672.10243909999997</v>
      </c>
      <c r="O32" s="10">
        <v>760.79205490000004</v>
      </c>
      <c r="P32" s="10">
        <v>408.2669449</v>
      </c>
      <c r="Q32" s="10">
        <v>544.47533299999998</v>
      </c>
      <c r="R32" s="10">
        <v>455.49306510000002</v>
      </c>
      <c r="S32" s="10">
        <v>539.79505549999999</v>
      </c>
      <c r="T32" s="10">
        <v>758.4825697</v>
      </c>
      <c r="U32" s="10">
        <v>627.16774550000002</v>
      </c>
      <c r="V32" s="10">
        <v>521.70764140000006</v>
      </c>
      <c r="W32" s="10">
        <v>694.94923319999998</v>
      </c>
      <c r="X32" s="10">
        <v>739.28932029999999</v>
      </c>
      <c r="Y32" s="10">
        <v>464.88959829999999</v>
      </c>
      <c r="Z32" s="10">
        <v>742.7036339</v>
      </c>
      <c r="AA32" s="10">
        <v>619.69841550000001</v>
      </c>
      <c r="AB32" s="10">
        <v>429.32465769999999</v>
      </c>
      <c r="AC32" s="10">
        <v>500.93011300000001</v>
      </c>
      <c r="AD32" s="10">
        <v>796.4020117</v>
      </c>
      <c r="AE32" s="10">
        <v>685.40684699999997</v>
      </c>
      <c r="AF32" s="10">
        <v>586.72561169999994</v>
      </c>
      <c r="AG32" s="10">
        <v>681.66707299999996</v>
      </c>
      <c r="AH32" s="10">
        <f t="shared" si="0"/>
        <v>618.11775861000001</v>
      </c>
      <c r="AI32" s="11">
        <v>0.6</v>
      </c>
      <c r="AJ32" s="10">
        <f t="shared" si="1"/>
        <v>1030.1962643500001</v>
      </c>
      <c r="AK32" s="10">
        <f t="shared" si="2"/>
        <v>10.301962643500001</v>
      </c>
      <c r="AL32" s="12"/>
      <c r="AM32" s="11">
        <f t="shared" si="6"/>
        <v>0.8</v>
      </c>
      <c r="AN32" s="14">
        <f t="shared" si="3"/>
        <v>824.15701148000016</v>
      </c>
      <c r="AO32" s="17" t="s">
        <v>51</v>
      </c>
      <c r="AP32" s="15" t="s">
        <v>52</v>
      </c>
      <c r="AQ32" s="16" t="str">
        <f t="shared" ref="AQ32:AR32" si="35">IF(AS32&gt;1, "ON", "OFF")</f>
        <v>ON</v>
      </c>
      <c r="AR32" s="16" t="str">
        <f t="shared" si="35"/>
        <v>ON</v>
      </c>
      <c r="AS32" s="15">
        <f>IF(AND(AN32&gt;index!$C$2, AO32="available", AP32="favourable"), index!$C$2, IF(AND(AO32="available", AP32="favourable"), AN32, 0))</f>
        <v>500</v>
      </c>
      <c r="AT32" s="14">
        <f t="shared" si="5"/>
        <v>324.15701148000016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</row>
    <row r="33" spans="1:68" ht="15.75" customHeight="1">
      <c r="A33" s="10">
        <v>15</v>
      </c>
      <c r="B33" s="10">
        <v>54000</v>
      </c>
      <c r="C33" s="10">
        <v>420</v>
      </c>
      <c r="D33" s="10">
        <v>751.56290660000002</v>
      </c>
      <c r="E33" s="10">
        <v>743.52815469999996</v>
      </c>
      <c r="F33" s="10">
        <v>522.40425159999995</v>
      </c>
      <c r="G33" s="10">
        <v>474.28890760000002</v>
      </c>
      <c r="H33" s="10">
        <v>757.50391960000002</v>
      </c>
      <c r="I33" s="10">
        <v>595.90061370000001</v>
      </c>
      <c r="J33" s="10">
        <v>774.33267499999999</v>
      </c>
      <c r="K33" s="10">
        <v>523.70785309999997</v>
      </c>
      <c r="L33" s="10">
        <v>805.40206139999998</v>
      </c>
      <c r="M33" s="10">
        <v>602.68410029999995</v>
      </c>
      <c r="N33" s="10">
        <v>799.47574859999997</v>
      </c>
      <c r="O33" s="10">
        <v>431.16538400000002</v>
      </c>
      <c r="P33" s="10">
        <v>597.75935070000003</v>
      </c>
      <c r="Q33" s="10">
        <v>643.69954740000003</v>
      </c>
      <c r="R33" s="10">
        <v>735.22620589999997</v>
      </c>
      <c r="S33" s="10">
        <v>553.80701429999999</v>
      </c>
      <c r="T33" s="10">
        <v>456.52965399999999</v>
      </c>
      <c r="U33" s="10">
        <v>449.34440899999998</v>
      </c>
      <c r="V33" s="10">
        <v>674.41472820000001</v>
      </c>
      <c r="W33" s="10">
        <v>754.25243620000003</v>
      </c>
      <c r="X33" s="10">
        <v>592.01116300000001</v>
      </c>
      <c r="Y33" s="10">
        <v>608.5690611</v>
      </c>
      <c r="Z33" s="10">
        <v>477.1730417</v>
      </c>
      <c r="AA33" s="10">
        <v>517.91900710000004</v>
      </c>
      <c r="AB33" s="10">
        <v>571.14303719999998</v>
      </c>
      <c r="AC33" s="10">
        <v>675.97594979999997</v>
      </c>
      <c r="AD33" s="10">
        <v>773.17200500000001</v>
      </c>
      <c r="AE33" s="10">
        <v>837.16795750000006</v>
      </c>
      <c r="AF33" s="10">
        <v>462.38968310000001</v>
      </c>
      <c r="AG33" s="10">
        <v>786.79489709999996</v>
      </c>
      <c r="AH33" s="10">
        <f t="shared" si="0"/>
        <v>631.64352414999996</v>
      </c>
      <c r="AI33" s="11">
        <v>0.6</v>
      </c>
      <c r="AJ33" s="10">
        <f t="shared" si="1"/>
        <v>1052.7392069166667</v>
      </c>
      <c r="AK33" s="10">
        <f t="shared" si="2"/>
        <v>10.527392069166668</v>
      </c>
      <c r="AL33" s="12"/>
      <c r="AM33" s="11">
        <f t="shared" si="6"/>
        <v>0.8</v>
      </c>
      <c r="AN33" s="14">
        <f t="shared" si="3"/>
        <v>842.1913655333334</v>
      </c>
      <c r="AO33" s="17" t="s">
        <v>51</v>
      </c>
      <c r="AP33" s="15" t="s">
        <v>52</v>
      </c>
      <c r="AQ33" s="16" t="str">
        <f t="shared" ref="AQ33:AR33" si="36">IF(AS33&gt;1, "ON", "OFF")</f>
        <v>ON</v>
      </c>
      <c r="AR33" s="16" t="str">
        <f t="shared" si="36"/>
        <v>ON</v>
      </c>
      <c r="AS33" s="15">
        <f>IF(AND(AN33&gt;index!$C$2, AO33="available", AP33="favourable"), index!$C$2, IF(AND(AO33="available", AP33="favourable"), AN33, 0))</f>
        <v>500</v>
      </c>
      <c r="AT33" s="14">
        <f t="shared" si="5"/>
        <v>342.1913655333334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</row>
    <row r="34" spans="1:68" ht="15.75" customHeight="1">
      <c r="A34" s="10">
        <v>15.5</v>
      </c>
      <c r="B34" s="10">
        <v>55800</v>
      </c>
      <c r="C34" s="10">
        <v>430</v>
      </c>
      <c r="D34" s="10">
        <v>649.39099550000003</v>
      </c>
      <c r="E34" s="10">
        <v>609.64904000000001</v>
      </c>
      <c r="F34" s="10">
        <v>518.51246590000005</v>
      </c>
      <c r="G34" s="10">
        <v>644.64753819999999</v>
      </c>
      <c r="H34" s="10">
        <v>763.54378919999999</v>
      </c>
      <c r="I34" s="10">
        <v>557.54809350000005</v>
      </c>
      <c r="J34" s="10">
        <v>546.02162420000002</v>
      </c>
      <c r="K34" s="10">
        <v>444.46087160000002</v>
      </c>
      <c r="L34" s="10">
        <v>525.81165780000003</v>
      </c>
      <c r="M34" s="10">
        <v>752.30578690000004</v>
      </c>
      <c r="N34" s="10">
        <v>641.77683960000002</v>
      </c>
      <c r="O34" s="10">
        <v>767.22155250000003</v>
      </c>
      <c r="P34" s="10">
        <v>697.3853087</v>
      </c>
      <c r="Q34" s="10">
        <v>517.81426580000004</v>
      </c>
      <c r="R34" s="10">
        <v>540.09916269999997</v>
      </c>
      <c r="S34" s="10">
        <v>811.51584500000001</v>
      </c>
      <c r="T34" s="10">
        <v>850.81426139999996</v>
      </c>
      <c r="U34" s="10">
        <v>822.84578899999997</v>
      </c>
      <c r="V34" s="10">
        <v>831.22966010000005</v>
      </c>
      <c r="W34" s="10">
        <v>595.40520730000003</v>
      </c>
      <c r="X34" s="10">
        <v>567.42994209999995</v>
      </c>
      <c r="Y34" s="10">
        <v>637.52512779999995</v>
      </c>
      <c r="Z34" s="10">
        <v>465.27932029999999</v>
      </c>
      <c r="AA34" s="10">
        <v>673.71296729999995</v>
      </c>
      <c r="AB34" s="10">
        <v>597.05466330000002</v>
      </c>
      <c r="AC34" s="10">
        <v>824.58449829999995</v>
      </c>
      <c r="AD34" s="10">
        <v>787.938806</v>
      </c>
      <c r="AE34" s="10">
        <v>474.6484686</v>
      </c>
      <c r="AF34" s="10">
        <v>817.95728989999998</v>
      </c>
      <c r="AG34" s="10">
        <v>469.78539169999999</v>
      </c>
      <c r="AH34" s="10">
        <f t="shared" si="0"/>
        <v>646.79720767333333</v>
      </c>
      <c r="AI34" s="11">
        <v>0.6</v>
      </c>
      <c r="AJ34" s="10">
        <f t="shared" si="1"/>
        <v>1077.9953461222224</v>
      </c>
      <c r="AK34" s="10">
        <f t="shared" si="2"/>
        <v>10.779953461222224</v>
      </c>
      <c r="AL34" s="12"/>
      <c r="AM34" s="11">
        <f t="shared" si="6"/>
        <v>0.8</v>
      </c>
      <c r="AN34" s="14">
        <f t="shared" si="3"/>
        <v>862.39627689777797</v>
      </c>
      <c r="AO34" s="17" t="s">
        <v>51</v>
      </c>
      <c r="AP34" s="15" t="s">
        <v>50</v>
      </c>
      <c r="AQ34" s="16" t="str">
        <f t="shared" ref="AQ34:AR34" si="37">IF(AS34&gt;1, "ON", "OFF")</f>
        <v>OFF</v>
      </c>
      <c r="AR34" s="16" t="str">
        <f t="shared" si="37"/>
        <v>ON</v>
      </c>
      <c r="AS34" s="15">
        <f>IF(AND(AN34&gt;index!$C$2, AO34="available", AP34="favourable"), index!$C$2, IF(AND(AO34="available", AP34="favourable"), AN34, 0))</f>
        <v>0</v>
      </c>
      <c r="AT34" s="14">
        <f t="shared" si="5"/>
        <v>862.39627689777797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</row>
    <row r="35" spans="1:68" ht="15.75" customHeight="1">
      <c r="A35" s="10">
        <v>16</v>
      </c>
      <c r="B35" s="10">
        <v>57600</v>
      </c>
      <c r="C35" s="10">
        <v>450</v>
      </c>
      <c r="D35" s="10">
        <v>865.24109599999997</v>
      </c>
      <c r="E35" s="10">
        <v>592.02769909999995</v>
      </c>
      <c r="F35" s="10">
        <v>698.53755699999999</v>
      </c>
      <c r="G35" s="10">
        <v>593.92295979999994</v>
      </c>
      <c r="H35" s="10">
        <v>749.76713900000004</v>
      </c>
      <c r="I35" s="10">
        <v>668.25476119999996</v>
      </c>
      <c r="J35" s="10">
        <v>509.89902569999998</v>
      </c>
      <c r="K35" s="10">
        <v>463.18917720000002</v>
      </c>
      <c r="L35" s="10">
        <v>487.30252769999998</v>
      </c>
      <c r="M35" s="10">
        <v>460.5929309</v>
      </c>
      <c r="N35" s="10">
        <v>651.42317479999997</v>
      </c>
      <c r="O35" s="10">
        <v>731.04865080000002</v>
      </c>
      <c r="P35" s="10">
        <v>556.87967089999995</v>
      </c>
      <c r="Q35" s="10">
        <v>736.90781240000001</v>
      </c>
      <c r="R35" s="10">
        <v>644.96799799999997</v>
      </c>
      <c r="S35" s="10">
        <v>567.08840229999998</v>
      </c>
      <c r="T35" s="10">
        <v>480.99857739999999</v>
      </c>
      <c r="U35" s="10">
        <v>858.70713090000004</v>
      </c>
      <c r="V35" s="10">
        <v>645.44262819999994</v>
      </c>
      <c r="W35" s="10">
        <v>654.54254939999998</v>
      </c>
      <c r="X35" s="10">
        <v>798.19778289999999</v>
      </c>
      <c r="Y35" s="10">
        <v>891.90672900000004</v>
      </c>
      <c r="Z35" s="10">
        <v>714.65820110000004</v>
      </c>
      <c r="AA35" s="10">
        <v>892.12158209999996</v>
      </c>
      <c r="AB35" s="10">
        <v>824.65484619999995</v>
      </c>
      <c r="AC35" s="10">
        <v>587.73068869999997</v>
      </c>
      <c r="AD35" s="10">
        <v>728.71069130000001</v>
      </c>
      <c r="AE35" s="10">
        <v>463.51626640000001</v>
      </c>
      <c r="AF35" s="10">
        <v>473.55953190000002</v>
      </c>
      <c r="AG35" s="10">
        <v>838.0832054</v>
      </c>
      <c r="AH35" s="10">
        <f t="shared" si="0"/>
        <v>660.9960331233334</v>
      </c>
      <c r="AI35" s="11">
        <v>0.6</v>
      </c>
      <c r="AJ35" s="10">
        <f t="shared" si="1"/>
        <v>1101.6600552055556</v>
      </c>
      <c r="AK35" s="10">
        <f t="shared" si="2"/>
        <v>11.016600552055557</v>
      </c>
      <c r="AL35" s="12"/>
      <c r="AM35" s="11">
        <f t="shared" si="6"/>
        <v>0.8</v>
      </c>
      <c r="AN35" s="14">
        <f t="shared" si="3"/>
        <v>881.32804416444458</v>
      </c>
      <c r="AO35" s="17" t="s">
        <v>51</v>
      </c>
      <c r="AP35" s="14" t="s">
        <v>50</v>
      </c>
      <c r="AQ35" s="16" t="str">
        <f t="shared" ref="AQ35:AR35" si="38">IF(AS35&gt;1, "ON", "OFF")</f>
        <v>OFF</v>
      </c>
      <c r="AR35" s="16" t="str">
        <f t="shared" si="38"/>
        <v>ON</v>
      </c>
      <c r="AS35" s="15">
        <f>IF(AND(AN35&gt;index!$C$2, AO35="available", AP35="favourable"), index!$C$2, IF(AND(AO35="available", AP35="favourable"), AN35, 0))</f>
        <v>0</v>
      </c>
      <c r="AT35" s="14">
        <f t="shared" si="5"/>
        <v>881.32804416444458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</row>
    <row r="36" spans="1:68" ht="15.75" customHeight="1">
      <c r="A36" s="10">
        <v>16.5</v>
      </c>
      <c r="B36" s="10">
        <v>59400</v>
      </c>
      <c r="C36" s="10">
        <v>400</v>
      </c>
      <c r="D36" s="10">
        <v>780.26648139999998</v>
      </c>
      <c r="E36" s="10">
        <v>720.42755629999999</v>
      </c>
      <c r="F36" s="10">
        <v>536.11834150000004</v>
      </c>
      <c r="G36" s="10">
        <v>554.56102559999999</v>
      </c>
      <c r="H36" s="10">
        <v>471.23406829999999</v>
      </c>
      <c r="I36" s="10">
        <v>791.98917670000003</v>
      </c>
      <c r="J36" s="10">
        <v>684.77961619999996</v>
      </c>
      <c r="K36" s="10">
        <v>732.09783890000006</v>
      </c>
      <c r="L36" s="10">
        <v>506.14993709999999</v>
      </c>
      <c r="M36" s="10">
        <v>490.35500009999998</v>
      </c>
      <c r="N36" s="10">
        <v>496.53467339999997</v>
      </c>
      <c r="O36" s="10">
        <v>721.76610800000003</v>
      </c>
      <c r="P36" s="10">
        <v>601.65130950000002</v>
      </c>
      <c r="Q36" s="10">
        <v>485.37625409999998</v>
      </c>
      <c r="R36" s="10">
        <v>559.48050820000003</v>
      </c>
      <c r="S36" s="10">
        <v>510.75358419999998</v>
      </c>
      <c r="T36" s="10">
        <v>773.58970929999998</v>
      </c>
      <c r="U36" s="10">
        <v>524.00269820000005</v>
      </c>
      <c r="V36" s="10">
        <v>503.78232200000002</v>
      </c>
      <c r="W36" s="10">
        <v>612.17036459999997</v>
      </c>
      <c r="X36" s="10">
        <v>460.56889569999998</v>
      </c>
      <c r="Y36" s="10">
        <v>754.62921730000005</v>
      </c>
      <c r="Z36" s="10">
        <v>765.19637980000005</v>
      </c>
      <c r="AA36" s="10">
        <v>471.58016450000002</v>
      </c>
      <c r="AB36" s="10">
        <v>487.32306640000002</v>
      </c>
      <c r="AC36" s="10">
        <v>538.76299519999998</v>
      </c>
      <c r="AD36" s="10">
        <v>526.94438279999997</v>
      </c>
      <c r="AE36" s="10">
        <v>513.81825360000005</v>
      </c>
      <c r="AF36" s="10">
        <v>733.52836160000004</v>
      </c>
      <c r="AG36" s="10">
        <v>439.86041829999999</v>
      </c>
      <c r="AH36" s="10">
        <f t="shared" si="0"/>
        <v>591.64329029333339</v>
      </c>
      <c r="AI36" s="11">
        <v>0.6</v>
      </c>
      <c r="AJ36" s="10">
        <f t="shared" si="1"/>
        <v>986.07215048888906</v>
      </c>
      <c r="AK36" s="10">
        <f t="shared" si="2"/>
        <v>9.8607215048888914</v>
      </c>
      <c r="AL36" s="12"/>
      <c r="AM36" s="11">
        <f t="shared" si="6"/>
        <v>0.8</v>
      </c>
      <c r="AN36" s="14">
        <f t="shared" si="3"/>
        <v>788.85772039111134</v>
      </c>
      <c r="AO36" s="17" t="s">
        <v>51</v>
      </c>
      <c r="AP36" s="15" t="s">
        <v>52</v>
      </c>
      <c r="AQ36" s="16" t="str">
        <f t="shared" ref="AQ36:AR36" si="39">IF(AS36&gt;1, "ON", "OFF")</f>
        <v>ON</v>
      </c>
      <c r="AR36" s="16" t="str">
        <f t="shared" si="39"/>
        <v>ON</v>
      </c>
      <c r="AS36" s="15">
        <f>IF(AND(AN36&gt;index!$C$2, AO36="available", AP36="favourable"), index!$C$2, IF(AND(AO36="available", AP36="favourable"), AN36, 0))</f>
        <v>500</v>
      </c>
      <c r="AT36" s="14">
        <f t="shared" si="5"/>
        <v>288.85772039111134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</row>
    <row r="37" spans="1:68" ht="15.75" customHeight="1">
      <c r="A37" s="10">
        <v>17</v>
      </c>
      <c r="B37" s="10">
        <v>61200</v>
      </c>
      <c r="C37" s="10">
        <v>390</v>
      </c>
      <c r="D37" s="10">
        <v>432.45962559999998</v>
      </c>
      <c r="E37" s="10">
        <v>601.29642269999999</v>
      </c>
      <c r="F37" s="10">
        <v>465.00342979999999</v>
      </c>
      <c r="G37" s="10">
        <v>523.91821970000001</v>
      </c>
      <c r="H37" s="10">
        <v>508.82236870000003</v>
      </c>
      <c r="I37" s="10">
        <v>621.10238460000005</v>
      </c>
      <c r="J37" s="10">
        <v>513.0524633</v>
      </c>
      <c r="K37" s="10">
        <v>418.54994979999998</v>
      </c>
      <c r="L37" s="10">
        <v>738.35295499999995</v>
      </c>
      <c r="M37" s="10">
        <v>442.84435630000002</v>
      </c>
      <c r="N37" s="10">
        <v>480.4515136</v>
      </c>
      <c r="O37" s="10">
        <v>750.06795820000002</v>
      </c>
      <c r="P37" s="10">
        <v>570.43024460000004</v>
      </c>
      <c r="Q37" s="10">
        <v>481.3684811</v>
      </c>
      <c r="R37" s="10">
        <v>481.66135980000001</v>
      </c>
      <c r="S37" s="10">
        <v>753.75368590000005</v>
      </c>
      <c r="T37" s="10">
        <v>426.22651999999999</v>
      </c>
      <c r="U37" s="10">
        <v>760.13731410000003</v>
      </c>
      <c r="V37" s="10">
        <v>432.32851090000003</v>
      </c>
      <c r="W37" s="10">
        <v>759.44984580000005</v>
      </c>
      <c r="X37" s="10">
        <v>704.67650749999996</v>
      </c>
      <c r="Y37" s="10">
        <v>702.57439859999999</v>
      </c>
      <c r="Z37" s="10">
        <v>401.18104060000002</v>
      </c>
      <c r="AA37" s="10">
        <v>578.20508689999997</v>
      </c>
      <c r="AB37" s="10">
        <v>475.773933</v>
      </c>
      <c r="AC37" s="10">
        <v>539.02191519999997</v>
      </c>
      <c r="AD37" s="10">
        <v>557.84156929999995</v>
      </c>
      <c r="AE37" s="10">
        <v>523.67405050000002</v>
      </c>
      <c r="AF37" s="10">
        <v>523.2009984</v>
      </c>
      <c r="AG37" s="10">
        <v>532.19264989999999</v>
      </c>
      <c r="AH37" s="10">
        <f t="shared" si="0"/>
        <v>556.65399198000011</v>
      </c>
      <c r="AI37" s="11">
        <v>0.6</v>
      </c>
      <c r="AJ37" s="10">
        <f t="shared" si="1"/>
        <v>927.75665330000027</v>
      </c>
      <c r="AK37" s="10">
        <f t="shared" si="2"/>
        <v>9.2775665330000034</v>
      </c>
      <c r="AL37" s="12"/>
      <c r="AM37" s="11">
        <f t="shared" si="6"/>
        <v>0.8</v>
      </c>
      <c r="AN37" s="14">
        <f t="shared" si="3"/>
        <v>742.2053226400003</v>
      </c>
      <c r="AO37" s="17" t="s">
        <v>49</v>
      </c>
      <c r="AP37" s="15" t="s">
        <v>50</v>
      </c>
      <c r="AQ37" s="16" t="str">
        <f t="shared" ref="AQ37:AR37" si="40">IF(AS37&gt;1, "ON", "OFF")</f>
        <v>OFF</v>
      </c>
      <c r="AR37" s="16" t="str">
        <f t="shared" si="40"/>
        <v>ON</v>
      </c>
      <c r="AS37" s="15">
        <f>IF(AND(AN37&gt;index!$C$2, AO37="available", AP37="favourable"), index!$C$2, IF(AND(AO37="available", AP37="favourable"), AN37, 0))</f>
        <v>0</v>
      </c>
      <c r="AT37" s="14">
        <f t="shared" si="5"/>
        <v>742.2053226400003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</row>
    <row r="38" spans="1:68" ht="15.75" customHeight="1">
      <c r="A38" s="10">
        <v>17.5</v>
      </c>
      <c r="B38" s="10">
        <v>63000</v>
      </c>
      <c r="C38" s="10">
        <v>250</v>
      </c>
      <c r="D38" s="10">
        <v>300.84510560000001</v>
      </c>
      <c r="E38" s="10">
        <v>279.85529009999999</v>
      </c>
      <c r="F38" s="10">
        <v>312.75314279999998</v>
      </c>
      <c r="G38" s="10">
        <v>389.52929769999997</v>
      </c>
      <c r="H38" s="10">
        <v>258.81931459999998</v>
      </c>
      <c r="I38" s="10">
        <v>462.74814959999998</v>
      </c>
      <c r="J38" s="10">
        <v>270.84526069999998</v>
      </c>
      <c r="K38" s="10">
        <v>260.60152049999999</v>
      </c>
      <c r="L38" s="10">
        <v>324.87322870000003</v>
      </c>
      <c r="M38" s="10">
        <v>345.74315569999999</v>
      </c>
      <c r="N38" s="10">
        <v>266.73759200000001</v>
      </c>
      <c r="O38" s="10">
        <v>304.4571176</v>
      </c>
      <c r="P38" s="10">
        <v>311.06757529999999</v>
      </c>
      <c r="Q38" s="10">
        <v>375.93572260000002</v>
      </c>
      <c r="R38" s="10">
        <v>253.52207490000001</v>
      </c>
      <c r="S38" s="10">
        <v>402.25744550000002</v>
      </c>
      <c r="T38" s="10">
        <v>337.06388820000001</v>
      </c>
      <c r="U38" s="10">
        <v>297.31772319999999</v>
      </c>
      <c r="V38" s="10">
        <v>415.87865640000001</v>
      </c>
      <c r="W38" s="10">
        <v>375.11173559999997</v>
      </c>
      <c r="X38" s="10">
        <v>368.38600889999998</v>
      </c>
      <c r="Y38" s="10">
        <v>484.73910289999998</v>
      </c>
      <c r="Z38" s="10">
        <v>457.89420050000001</v>
      </c>
      <c r="AA38" s="10">
        <v>398.06132209999998</v>
      </c>
      <c r="AB38" s="10">
        <v>364.69999780000001</v>
      </c>
      <c r="AC38" s="10">
        <v>393.2105277</v>
      </c>
      <c r="AD38" s="10">
        <v>411.71768059999999</v>
      </c>
      <c r="AE38" s="10">
        <v>471.01478329999998</v>
      </c>
      <c r="AF38" s="10">
        <v>251.27920040000001</v>
      </c>
      <c r="AG38" s="10">
        <v>385.1169792</v>
      </c>
      <c r="AH38" s="10">
        <f t="shared" si="0"/>
        <v>351.06942669</v>
      </c>
      <c r="AI38" s="11">
        <v>0.6</v>
      </c>
      <c r="AJ38" s="10">
        <f t="shared" si="1"/>
        <v>585.11571115000004</v>
      </c>
      <c r="AK38" s="10">
        <f t="shared" si="2"/>
        <v>5.8511571115000001</v>
      </c>
      <c r="AL38" s="12"/>
      <c r="AM38" s="11">
        <f t="shared" si="6"/>
        <v>0.8</v>
      </c>
      <c r="AN38" s="14">
        <f t="shared" si="3"/>
        <v>468.09256892000008</v>
      </c>
      <c r="AO38" s="10" t="s">
        <v>49</v>
      </c>
      <c r="AP38" s="14" t="s">
        <v>50</v>
      </c>
      <c r="AQ38" s="16" t="str">
        <f t="shared" ref="AQ38:AR38" si="41">IF(AS38&gt;1, "ON", "OFF")</f>
        <v>OFF</v>
      </c>
      <c r="AR38" s="16" t="str">
        <f t="shared" si="41"/>
        <v>ON</v>
      </c>
      <c r="AS38" s="15">
        <f>IF(AND(AN38&gt;index!$C$2, AO38="available", AP38="favourable"), index!$C$2, IF(AND(AO38="available", AP38="favourable"), AN38, 0))</f>
        <v>0</v>
      </c>
      <c r="AT38" s="14">
        <f t="shared" si="5"/>
        <v>468.09256892000008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</row>
    <row r="39" spans="1:68" ht="15.75" customHeight="1">
      <c r="A39" s="10">
        <v>18</v>
      </c>
      <c r="B39" s="10">
        <v>64800</v>
      </c>
      <c r="C39" s="10">
        <v>360</v>
      </c>
      <c r="D39" s="10">
        <v>556.15520059999994</v>
      </c>
      <c r="E39" s="10">
        <v>535.10249829999998</v>
      </c>
      <c r="F39" s="10">
        <v>548.5883513</v>
      </c>
      <c r="G39" s="10">
        <v>532.35288730000002</v>
      </c>
      <c r="H39" s="10">
        <v>703.52116860000001</v>
      </c>
      <c r="I39" s="10">
        <v>555.19637179999995</v>
      </c>
      <c r="J39" s="10">
        <v>453.62838119999998</v>
      </c>
      <c r="K39" s="10">
        <v>510.89598910000001</v>
      </c>
      <c r="L39" s="10">
        <v>395.89466429999999</v>
      </c>
      <c r="M39" s="10">
        <v>480.53960180000001</v>
      </c>
      <c r="N39" s="10">
        <v>525.0092204</v>
      </c>
      <c r="O39" s="10">
        <v>623.14554380000004</v>
      </c>
      <c r="P39" s="10">
        <v>670.2681182</v>
      </c>
      <c r="Q39" s="10">
        <v>568.83113639999999</v>
      </c>
      <c r="R39" s="10">
        <v>415.18489019999998</v>
      </c>
      <c r="S39" s="10">
        <v>684.63629920000005</v>
      </c>
      <c r="T39" s="10">
        <v>461.52871709999999</v>
      </c>
      <c r="U39" s="10">
        <v>525.25202890000003</v>
      </c>
      <c r="V39" s="10">
        <v>466.92356990000002</v>
      </c>
      <c r="W39" s="10">
        <v>408.46523059999998</v>
      </c>
      <c r="X39" s="10">
        <v>646.66900910000004</v>
      </c>
      <c r="Y39" s="10">
        <v>370.42860999999999</v>
      </c>
      <c r="Z39" s="10">
        <v>672.20899110000005</v>
      </c>
      <c r="AA39" s="10">
        <v>450.429869</v>
      </c>
      <c r="AB39" s="10">
        <v>490.78022709999999</v>
      </c>
      <c r="AC39" s="10">
        <v>403.61017079999999</v>
      </c>
      <c r="AD39" s="10">
        <v>529.75389470000005</v>
      </c>
      <c r="AE39" s="10">
        <v>678.3933121</v>
      </c>
      <c r="AF39" s="10">
        <v>667.61305030000005</v>
      </c>
      <c r="AG39" s="10">
        <v>577.16078210000001</v>
      </c>
      <c r="AH39" s="10">
        <f t="shared" si="0"/>
        <v>536.93892617666677</v>
      </c>
      <c r="AI39" s="11">
        <v>0.6</v>
      </c>
      <c r="AJ39" s="10">
        <f t="shared" si="1"/>
        <v>894.89821029444465</v>
      </c>
      <c r="AK39" s="10">
        <f t="shared" si="2"/>
        <v>8.9489821029444467</v>
      </c>
      <c r="AL39" s="12"/>
      <c r="AM39" s="11">
        <f t="shared" si="6"/>
        <v>0.8</v>
      </c>
      <c r="AN39" s="14">
        <f t="shared" si="3"/>
        <v>715.91856823555577</v>
      </c>
      <c r="AO39" s="10" t="s">
        <v>49</v>
      </c>
      <c r="AP39" s="14" t="s">
        <v>50</v>
      </c>
      <c r="AQ39" s="16" t="str">
        <f t="shared" ref="AQ39:AR39" si="42">IF(AS39&gt;1, "ON", "OFF")</f>
        <v>OFF</v>
      </c>
      <c r="AR39" s="16" t="str">
        <f t="shared" si="42"/>
        <v>ON</v>
      </c>
      <c r="AS39" s="15">
        <f>IF(AND(AN39&gt;index!$C$2, AO39="available", AP39="favourable"), index!$C$2, IF(AND(AO39="available", AP39="favourable"), AN39, 0))</f>
        <v>0</v>
      </c>
      <c r="AT39" s="14">
        <f t="shared" si="5"/>
        <v>715.91856823555577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</row>
    <row r="40" spans="1:68" ht="15.75" customHeight="1">
      <c r="A40" s="10">
        <v>18.5</v>
      </c>
      <c r="B40" s="10">
        <v>66600</v>
      </c>
      <c r="C40" s="10">
        <v>300</v>
      </c>
      <c r="D40" s="10">
        <v>505.08741609999998</v>
      </c>
      <c r="E40" s="10">
        <v>318.09157720000002</v>
      </c>
      <c r="F40" s="10">
        <v>416.65988090000002</v>
      </c>
      <c r="G40" s="10">
        <v>577.8604871</v>
      </c>
      <c r="H40" s="10">
        <v>582.47949640000002</v>
      </c>
      <c r="I40" s="10">
        <v>578.45741840000005</v>
      </c>
      <c r="J40" s="10">
        <v>532.50794440000004</v>
      </c>
      <c r="K40" s="10">
        <v>352.71246330000002</v>
      </c>
      <c r="L40" s="10">
        <v>584.69367139999997</v>
      </c>
      <c r="M40" s="10">
        <v>597.57924639999999</v>
      </c>
      <c r="N40" s="10">
        <v>467.94444829999998</v>
      </c>
      <c r="O40" s="10">
        <v>389.32276189999999</v>
      </c>
      <c r="P40" s="10">
        <v>363.053406</v>
      </c>
      <c r="Q40" s="10">
        <v>356.03879660000001</v>
      </c>
      <c r="R40" s="10">
        <v>504.0109266</v>
      </c>
      <c r="S40" s="10">
        <v>345.73648859999997</v>
      </c>
      <c r="T40" s="10">
        <v>495.80094320000001</v>
      </c>
      <c r="U40" s="10">
        <v>461.10392660000002</v>
      </c>
      <c r="V40" s="10">
        <v>373.89462420000001</v>
      </c>
      <c r="W40" s="10">
        <v>395.35762490000002</v>
      </c>
      <c r="X40" s="10">
        <v>447.63681229999997</v>
      </c>
      <c r="Y40" s="10">
        <v>326.49787020000002</v>
      </c>
      <c r="Z40" s="10">
        <v>502.89155060000002</v>
      </c>
      <c r="AA40" s="10">
        <v>438.43210349999998</v>
      </c>
      <c r="AB40" s="10">
        <v>391.64022729999999</v>
      </c>
      <c r="AC40" s="10">
        <v>348.71476410000002</v>
      </c>
      <c r="AD40" s="10">
        <v>456.7419769</v>
      </c>
      <c r="AE40" s="10">
        <v>469.7136122</v>
      </c>
      <c r="AF40" s="10">
        <v>572.51533600000005</v>
      </c>
      <c r="AG40" s="10">
        <v>426.85215549999998</v>
      </c>
      <c r="AH40" s="10">
        <f t="shared" si="0"/>
        <v>452.66766523666661</v>
      </c>
      <c r="AI40" s="11">
        <v>0.6</v>
      </c>
      <c r="AJ40" s="10">
        <f t="shared" si="1"/>
        <v>754.44610872777776</v>
      </c>
      <c r="AK40" s="10">
        <f t="shared" si="2"/>
        <v>7.544461087277778</v>
      </c>
      <c r="AL40" s="12"/>
      <c r="AM40" s="11">
        <f t="shared" si="6"/>
        <v>0.8</v>
      </c>
      <c r="AN40" s="14">
        <f t="shared" si="3"/>
        <v>603.55688698222218</v>
      </c>
      <c r="AO40" s="10" t="s">
        <v>49</v>
      </c>
      <c r="AP40" s="14" t="s">
        <v>50</v>
      </c>
      <c r="AQ40" s="16" t="str">
        <f t="shared" ref="AQ40:AR40" si="43">IF(AS40&gt;1, "ON", "OFF")</f>
        <v>OFF</v>
      </c>
      <c r="AR40" s="16" t="str">
        <f t="shared" si="43"/>
        <v>ON</v>
      </c>
      <c r="AS40" s="15">
        <f>IF(AND(AN40&gt;index!$C$2, AO40="available", AP40="favourable"), index!$C$2, IF(AND(AO40="available", AP40="favourable"), AN40, 0))</f>
        <v>0</v>
      </c>
      <c r="AT40" s="14">
        <f t="shared" si="5"/>
        <v>603.55688698222218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</row>
    <row r="41" spans="1:68" ht="15.75" customHeight="1">
      <c r="A41" s="10">
        <v>19</v>
      </c>
      <c r="B41" s="10">
        <v>68400</v>
      </c>
      <c r="C41" s="10">
        <v>350</v>
      </c>
      <c r="D41" s="10">
        <v>676.91699919999996</v>
      </c>
      <c r="E41" s="10">
        <v>508.40874839999998</v>
      </c>
      <c r="F41" s="10">
        <v>655.98912389999998</v>
      </c>
      <c r="G41" s="10">
        <v>694.95954559999996</v>
      </c>
      <c r="H41" s="10">
        <v>673.86755540000001</v>
      </c>
      <c r="I41" s="10">
        <v>387.51212020000003</v>
      </c>
      <c r="J41" s="10">
        <v>623.58546260000003</v>
      </c>
      <c r="K41" s="10">
        <v>414.04666859999998</v>
      </c>
      <c r="L41" s="10">
        <v>436.65707739999999</v>
      </c>
      <c r="M41" s="10">
        <v>600.44964890000006</v>
      </c>
      <c r="N41" s="10">
        <v>455.56962090000002</v>
      </c>
      <c r="O41" s="10">
        <v>502.17033479999998</v>
      </c>
      <c r="P41" s="10">
        <v>663.71465169999999</v>
      </c>
      <c r="Q41" s="10">
        <v>608.7368424</v>
      </c>
      <c r="R41" s="10">
        <v>567.98687210000003</v>
      </c>
      <c r="S41" s="10">
        <v>570.41792439999995</v>
      </c>
      <c r="T41" s="10">
        <v>628.80876190000004</v>
      </c>
      <c r="U41" s="10">
        <v>544.07940819999999</v>
      </c>
      <c r="V41" s="10">
        <v>450.14994730000001</v>
      </c>
      <c r="W41" s="10">
        <v>479.97510010000002</v>
      </c>
      <c r="X41" s="10">
        <v>576.88259010000002</v>
      </c>
      <c r="Y41" s="10">
        <v>471.37546659999998</v>
      </c>
      <c r="Z41" s="10">
        <v>403.99321500000002</v>
      </c>
      <c r="AA41" s="10">
        <v>400.3656009</v>
      </c>
      <c r="AB41" s="10">
        <v>670.77760049999995</v>
      </c>
      <c r="AC41" s="10">
        <v>607.14995820000001</v>
      </c>
      <c r="AD41" s="10">
        <v>488.4846637</v>
      </c>
      <c r="AE41" s="10">
        <v>588.65543939999998</v>
      </c>
      <c r="AF41" s="10">
        <v>606.37316090000002</v>
      </c>
      <c r="AG41" s="10">
        <v>592.07381239999995</v>
      </c>
      <c r="AH41" s="10">
        <f t="shared" si="0"/>
        <v>551.67113072333325</v>
      </c>
      <c r="AI41" s="11">
        <v>0.6</v>
      </c>
      <c r="AJ41" s="10">
        <f t="shared" si="1"/>
        <v>919.45188453888875</v>
      </c>
      <c r="AK41" s="10">
        <f t="shared" si="2"/>
        <v>9.1945188453888882</v>
      </c>
      <c r="AL41" s="12"/>
      <c r="AM41" s="11">
        <f t="shared" si="6"/>
        <v>0.8</v>
      </c>
      <c r="AN41" s="14">
        <f t="shared" si="3"/>
        <v>735.561507631111</v>
      </c>
      <c r="AO41" s="10" t="s">
        <v>49</v>
      </c>
      <c r="AP41" s="14" t="s">
        <v>50</v>
      </c>
      <c r="AQ41" s="16" t="str">
        <f t="shared" ref="AQ41:AR41" si="44">IF(AS41&gt;1, "ON", "OFF")</f>
        <v>OFF</v>
      </c>
      <c r="AR41" s="16" t="str">
        <f t="shared" si="44"/>
        <v>ON</v>
      </c>
      <c r="AS41" s="15">
        <f>IF(AND(AN41&gt;index!$C$2, AO41="available", AP41="favourable"), index!$C$2, IF(AND(AO41="available", AP41="favourable"), AN41, 0))</f>
        <v>0</v>
      </c>
      <c r="AT41" s="14">
        <f t="shared" si="5"/>
        <v>735.561507631111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</row>
    <row r="42" spans="1:68" ht="15.75" customHeight="1">
      <c r="A42" s="10">
        <v>19.5</v>
      </c>
      <c r="B42" s="10">
        <v>70200</v>
      </c>
      <c r="C42" s="10">
        <v>1000</v>
      </c>
      <c r="D42" s="10">
        <v>1574.2998359999999</v>
      </c>
      <c r="E42" s="10">
        <v>1244.29233</v>
      </c>
      <c r="F42" s="10">
        <v>1004.161931</v>
      </c>
      <c r="G42" s="10">
        <v>1284.4257580000001</v>
      </c>
      <c r="H42" s="10">
        <v>1351.9975489999999</v>
      </c>
      <c r="I42" s="10">
        <v>1024.3518590000001</v>
      </c>
      <c r="J42" s="10">
        <v>1342.2810569999999</v>
      </c>
      <c r="K42" s="10">
        <v>1072.4123520000001</v>
      </c>
      <c r="L42" s="10">
        <v>1495.8287150000001</v>
      </c>
      <c r="M42" s="10">
        <v>1799.178629</v>
      </c>
      <c r="N42" s="10">
        <v>1321.3437289999999</v>
      </c>
      <c r="O42" s="10">
        <v>1026.279884</v>
      </c>
      <c r="P42" s="10">
        <v>1568.2300170000001</v>
      </c>
      <c r="Q42" s="10">
        <v>1447.149443</v>
      </c>
      <c r="R42" s="10">
        <v>1192.3030429999999</v>
      </c>
      <c r="S42" s="10">
        <v>1607.4502210000001</v>
      </c>
      <c r="T42" s="10">
        <v>1221.8931970000001</v>
      </c>
      <c r="U42" s="10">
        <v>1031.2546110000001</v>
      </c>
      <c r="V42" s="10">
        <v>1024.9862189999999</v>
      </c>
      <c r="W42" s="10">
        <v>1621.9793830000001</v>
      </c>
      <c r="X42" s="10">
        <v>1300.6345679999999</v>
      </c>
      <c r="Y42" s="10">
        <v>1782.760432</v>
      </c>
      <c r="Z42" s="10">
        <v>1083.260898</v>
      </c>
      <c r="AA42" s="10">
        <v>1258.408733</v>
      </c>
      <c r="AB42" s="10">
        <v>1760.261444</v>
      </c>
      <c r="AC42" s="10">
        <v>1787.858804</v>
      </c>
      <c r="AD42" s="10">
        <v>1616.5509810000001</v>
      </c>
      <c r="AE42" s="10">
        <v>1218.5239260000001</v>
      </c>
      <c r="AF42" s="10">
        <v>1735.869974</v>
      </c>
      <c r="AG42" s="10">
        <v>1124.3883989999999</v>
      </c>
      <c r="AH42" s="10">
        <f t="shared" si="0"/>
        <v>1364.1539307333337</v>
      </c>
      <c r="AI42" s="11">
        <v>0.6</v>
      </c>
      <c r="AJ42" s="10">
        <f t="shared" si="1"/>
        <v>2273.5898845555562</v>
      </c>
      <c r="AK42" s="10">
        <f t="shared" si="2"/>
        <v>22.73589884555556</v>
      </c>
      <c r="AL42" s="12"/>
      <c r="AM42" s="11">
        <f t="shared" si="6"/>
        <v>0.8</v>
      </c>
      <c r="AN42" s="14">
        <f t="shared" si="3"/>
        <v>1818.8719076444449</v>
      </c>
      <c r="AO42" s="10" t="s">
        <v>49</v>
      </c>
      <c r="AP42" s="14" t="s">
        <v>50</v>
      </c>
      <c r="AQ42" s="16" t="str">
        <f t="shared" ref="AQ42:AR42" si="45">IF(AS42&gt;1, "ON", "OFF")</f>
        <v>OFF</v>
      </c>
      <c r="AR42" s="16" t="str">
        <f t="shared" si="45"/>
        <v>ON</v>
      </c>
      <c r="AS42" s="15">
        <f>IF(AND(AN42&gt;index!$C$2, AO42="available", AP42="favourable"), index!$C$2, IF(AND(AO42="available", AP42="favourable"), AN42, 0))</f>
        <v>0</v>
      </c>
      <c r="AT42" s="14">
        <f t="shared" si="5"/>
        <v>1818.8719076444449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</row>
    <row r="43" spans="1:68" ht="15.75" customHeight="1">
      <c r="A43" s="10">
        <v>20</v>
      </c>
      <c r="B43" s="10">
        <v>72000</v>
      </c>
      <c r="C43" s="10">
        <v>1200</v>
      </c>
      <c r="D43" s="10">
        <v>2045.4436250000001</v>
      </c>
      <c r="E43" s="10">
        <v>1361.410386</v>
      </c>
      <c r="F43" s="10">
        <v>1861.378931</v>
      </c>
      <c r="G43" s="10">
        <v>1306.2231300000001</v>
      </c>
      <c r="H43" s="10">
        <v>2349.1432629999999</v>
      </c>
      <c r="I43" s="10">
        <v>2062.4310500000001</v>
      </c>
      <c r="J43" s="10">
        <v>2108.7090090000002</v>
      </c>
      <c r="K43" s="10">
        <v>2263.9292909999999</v>
      </c>
      <c r="L43" s="10">
        <v>1545.5019850000001</v>
      </c>
      <c r="M43" s="10">
        <v>1792.135315</v>
      </c>
      <c r="N43" s="10">
        <v>1607.5034450000001</v>
      </c>
      <c r="O43" s="10">
        <v>1855.7250180000001</v>
      </c>
      <c r="P43" s="10">
        <v>1880.8944509999999</v>
      </c>
      <c r="Q43" s="10">
        <v>1503.9723730000001</v>
      </c>
      <c r="R43" s="10">
        <v>1544.4794159999999</v>
      </c>
      <c r="S43" s="10">
        <v>2067.0269939999998</v>
      </c>
      <c r="T43" s="10">
        <v>1540.813226</v>
      </c>
      <c r="U43" s="10">
        <v>1957.613572</v>
      </c>
      <c r="V43" s="10">
        <v>1301.347368</v>
      </c>
      <c r="W43" s="10">
        <v>2084.7440790000001</v>
      </c>
      <c r="X43" s="10">
        <v>1230.9650779999999</v>
      </c>
      <c r="Y43" s="10">
        <v>1975.5235499999999</v>
      </c>
      <c r="Z43" s="10">
        <v>2005.2164</v>
      </c>
      <c r="AA43" s="10">
        <v>1464.1238599999999</v>
      </c>
      <c r="AB43" s="10">
        <v>1697.6828989999999</v>
      </c>
      <c r="AC43" s="10">
        <v>2359.1193199999998</v>
      </c>
      <c r="AD43" s="10">
        <v>1725.0414800000001</v>
      </c>
      <c r="AE43" s="10">
        <v>2029.0348859999999</v>
      </c>
      <c r="AF43" s="10">
        <v>1359.25065</v>
      </c>
      <c r="AG43" s="10">
        <v>1894.5473079999999</v>
      </c>
      <c r="AH43" s="10">
        <f t="shared" si="0"/>
        <v>1792.6977119333335</v>
      </c>
      <c r="AI43" s="11">
        <v>0.6</v>
      </c>
      <c r="AJ43" s="10">
        <f t="shared" si="1"/>
        <v>2987.8295198888891</v>
      </c>
      <c r="AK43" s="10">
        <f t="shared" si="2"/>
        <v>29.878295198888893</v>
      </c>
      <c r="AL43" s="12"/>
      <c r="AM43" s="11">
        <f t="shared" si="6"/>
        <v>0.8</v>
      </c>
      <c r="AN43" s="14">
        <f t="shared" si="3"/>
        <v>2390.2636159111112</v>
      </c>
      <c r="AO43" s="17" t="s">
        <v>49</v>
      </c>
      <c r="AP43" s="14" t="s">
        <v>50</v>
      </c>
      <c r="AQ43" s="16" t="str">
        <f t="shared" ref="AQ43:AR43" si="46">IF(AS43&gt;1, "ON", "OFF")</f>
        <v>OFF</v>
      </c>
      <c r="AR43" s="16" t="str">
        <f t="shared" si="46"/>
        <v>ON</v>
      </c>
      <c r="AS43" s="15">
        <f>IF(AND(AN43&gt;index!$C$2, AO43="available", AP43="favourable"), index!$C$2, IF(AND(AO43="available", AP43="favourable"), AN43, 0))</f>
        <v>0</v>
      </c>
      <c r="AT43" s="14">
        <f t="shared" si="5"/>
        <v>2390.2636159111112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1:68" ht="15.75" customHeight="1">
      <c r="A44" s="10">
        <v>20.5</v>
      </c>
      <c r="B44" s="10">
        <v>73800</v>
      </c>
      <c r="C44" s="10">
        <v>980</v>
      </c>
      <c r="D44" s="10">
        <v>1113.7211500000001</v>
      </c>
      <c r="E44" s="10">
        <v>1139.015101</v>
      </c>
      <c r="F44" s="10">
        <v>1956.023739</v>
      </c>
      <c r="G44" s="10">
        <v>985.55946410000001</v>
      </c>
      <c r="H44" s="10">
        <v>1674.3452130000001</v>
      </c>
      <c r="I44" s="10">
        <v>1926.261581</v>
      </c>
      <c r="J44" s="10">
        <v>1919.7295630000001</v>
      </c>
      <c r="K44" s="10">
        <v>1552.816824</v>
      </c>
      <c r="L44" s="10">
        <v>1267.1527719999999</v>
      </c>
      <c r="M44" s="10">
        <v>1452.4820930000001</v>
      </c>
      <c r="N44" s="10">
        <v>1684.767282</v>
      </c>
      <c r="O44" s="10">
        <v>1582.5969190000001</v>
      </c>
      <c r="P44" s="10">
        <v>1946.149042</v>
      </c>
      <c r="Q44" s="10">
        <v>1861.243534</v>
      </c>
      <c r="R44" s="10">
        <v>1847.9914000000001</v>
      </c>
      <c r="S44" s="10">
        <v>1626.0532169999999</v>
      </c>
      <c r="T44" s="10">
        <v>1868.2512730000001</v>
      </c>
      <c r="U44" s="10">
        <v>1654.4741959999999</v>
      </c>
      <c r="V44" s="10">
        <v>1658.6115119999999</v>
      </c>
      <c r="W44" s="10">
        <v>1442.2526009999999</v>
      </c>
      <c r="X44" s="10">
        <v>995.70579110000006</v>
      </c>
      <c r="Y44" s="10">
        <v>1697.9917949999999</v>
      </c>
      <c r="Z44" s="10">
        <v>1017.787148</v>
      </c>
      <c r="AA44" s="10">
        <v>1645.8635959999999</v>
      </c>
      <c r="AB44" s="10">
        <v>1576.8313909999999</v>
      </c>
      <c r="AC44" s="10">
        <v>1050.597297</v>
      </c>
      <c r="AD44" s="10">
        <v>1769.3692129999999</v>
      </c>
      <c r="AE44" s="10">
        <v>1119.3351439999999</v>
      </c>
      <c r="AF44" s="10">
        <v>1361.6413439999999</v>
      </c>
      <c r="AG44" s="10">
        <v>1601.196312</v>
      </c>
      <c r="AH44" s="10">
        <f t="shared" si="0"/>
        <v>1533.193916906667</v>
      </c>
      <c r="AI44" s="11">
        <v>0.6</v>
      </c>
      <c r="AJ44" s="10">
        <f t="shared" si="1"/>
        <v>2555.323194844445</v>
      </c>
      <c r="AK44" s="10">
        <f t="shared" si="2"/>
        <v>25.553231948444449</v>
      </c>
      <c r="AL44" s="12"/>
      <c r="AM44" s="11">
        <f t="shared" si="6"/>
        <v>0.8</v>
      </c>
      <c r="AN44" s="14">
        <f t="shared" si="3"/>
        <v>2044.2585558755561</v>
      </c>
      <c r="AO44" s="10" t="s">
        <v>49</v>
      </c>
      <c r="AP44" s="14" t="s">
        <v>50</v>
      </c>
      <c r="AQ44" s="16" t="str">
        <f t="shared" ref="AQ44:AR44" si="47">IF(AS44&gt;1, "ON", "OFF")</f>
        <v>OFF</v>
      </c>
      <c r="AR44" s="16" t="str">
        <f t="shared" si="47"/>
        <v>ON</v>
      </c>
      <c r="AS44" s="15">
        <f>IF(AND(AN44&gt;index!$C$2, AO44="available", AP44="favourable"), index!$C$2, IF(AND(AO44="available", AP44="favourable"), AN44, 0))</f>
        <v>0</v>
      </c>
      <c r="AT44" s="14">
        <f t="shared" si="5"/>
        <v>2044.2585558755561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</row>
    <row r="45" spans="1:68" ht="15.75" customHeight="1">
      <c r="A45" s="10">
        <v>21</v>
      </c>
      <c r="B45" s="10">
        <v>75600</v>
      </c>
      <c r="C45" s="10">
        <v>900</v>
      </c>
      <c r="D45" s="10">
        <v>1179.4020989999999</v>
      </c>
      <c r="E45" s="10">
        <v>1045.949938</v>
      </c>
      <c r="F45" s="10">
        <v>1444.3316400000001</v>
      </c>
      <c r="G45" s="10">
        <v>1517.500372</v>
      </c>
      <c r="H45" s="10">
        <v>1723.5756019999999</v>
      </c>
      <c r="I45" s="10">
        <v>1761.506885</v>
      </c>
      <c r="J45" s="10">
        <v>1660.1505420000001</v>
      </c>
      <c r="K45" s="10">
        <v>949.76549899999998</v>
      </c>
      <c r="L45" s="10">
        <v>1692.5098479999999</v>
      </c>
      <c r="M45" s="10">
        <v>1405.3318320000001</v>
      </c>
      <c r="N45" s="10">
        <v>1285.967733</v>
      </c>
      <c r="O45" s="10">
        <v>1004.269951</v>
      </c>
      <c r="P45" s="10">
        <v>1646.9204649999999</v>
      </c>
      <c r="Q45" s="10">
        <v>1239.264228</v>
      </c>
      <c r="R45" s="10">
        <v>1340.8644159999999</v>
      </c>
      <c r="S45" s="10">
        <v>1030.5452849999999</v>
      </c>
      <c r="T45" s="10">
        <v>1742.1470730000001</v>
      </c>
      <c r="U45" s="10">
        <v>1691.821911</v>
      </c>
      <c r="V45" s="10">
        <v>1331.4676979999999</v>
      </c>
      <c r="W45" s="10">
        <v>1158.2000579999999</v>
      </c>
      <c r="X45" s="10">
        <v>1124.7321959999999</v>
      </c>
      <c r="Y45" s="10">
        <v>1122.4567030000001</v>
      </c>
      <c r="Z45" s="10">
        <v>1538.2304939999999</v>
      </c>
      <c r="AA45" s="10">
        <v>929.73750729999995</v>
      </c>
      <c r="AB45" s="10">
        <v>1499.2834170000001</v>
      </c>
      <c r="AC45" s="10">
        <v>1085.55574</v>
      </c>
      <c r="AD45" s="10">
        <v>1178.2293099999999</v>
      </c>
      <c r="AE45" s="10">
        <v>1642.5177650000001</v>
      </c>
      <c r="AF45" s="10">
        <v>1713.7862110000001</v>
      </c>
      <c r="AG45" s="10">
        <v>1172.7226920000001</v>
      </c>
      <c r="AH45" s="10">
        <f t="shared" si="0"/>
        <v>1361.9581703433332</v>
      </c>
      <c r="AI45" s="11">
        <v>0.6</v>
      </c>
      <c r="AJ45" s="10">
        <f t="shared" si="1"/>
        <v>2269.9302839055554</v>
      </c>
      <c r="AK45" s="10">
        <f t="shared" si="2"/>
        <v>22.699302839055555</v>
      </c>
      <c r="AL45" s="12"/>
      <c r="AM45" s="11">
        <f t="shared" si="6"/>
        <v>0.8</v>
      </c>
      <c r="AN45" s="14">
        <f t="shared" si="3"/>
        <v>1815.9442271244443</v>
      </c>
      <c r="AO45" s="10" t="s">
        <v>49</v>
      </c>
      <c r="AP45" s="14" t="s">
        <v>50</v>
      </c>
      <c r="AQ45" s="16" t="str">
        <f t="shared" ref="AQ45:AR45" si="48">IF(AS45&gt;1, "ON", "OFF")</f>
        <v>OFF</v>
      </c>
      <c r="AR45" s="16" t="str">
        <f t="shared" si="48"/>
        <v>ON</v>
      </c>
      <c r="AS45" s="15">
        <f>IF(AND(AN45&gt;index!$C$2, AO45="available", AP45="favourable"), index!$C$2, IF(AND(AO45="available", AP45="favourable"), AN45, 0))</f>
        <v>0</v>
      </c>
      <c r="AT45" s="14">
        <f t="shared" si="5"/>
        <v>1815.9442271244443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</row>
    <row r="46" spans="1:68" ht="15.75" customHeight="1">
      <c r="A46" s="10">
        <v>21.5</v>
      </c>
      <c r="B46" s="10">
        <v>77400</v>
      </c>
      <c r="C46" s="10">
        <v>400</v>
      </c>
      <c r="D46" s="10">
        <v>546.04107750000003</v>
      </c>
      <c r="E46" s="10">
        <v>661.82050919999995</v>
      </c>
      <c r="F46" s="10">
        <v>626.30865689999996</v>
      </c>
      <c r="G46" s="10">
        <v>580.32982679999998</v>
      </c>
      <c r="H46" s="10">
        <v>750.86044479999998</v>
      </c>
      <c r="I46" s="10">
        <v>544.56483449999996</v>
      </c>
      <c r="J46" s="10">
        <v>674.19832210000004</v>
      </c>
      <c r="K46" s="10">
        <v>767.07464259999995</v>
      </c>
      <c r="L46" s="10">
        <v>622.6736952</v>
      </c>
      <c r="M46" s="10">
        <v>797.54566790000001</v>
      </c>
      <c r="N46" s="10">
        <v>614.73611080000001</v>
      </c>
      <c r="O46" s="10">
        <v>447.8109761</v>
      </c>
      <c r="P46" s="10">
        <v>675.56758820000005</v>
      </c>
      <c r="Q46" s="10">
        <v>456.9708152</v>
      </c>
      <c r="R46" s="10">
        <v>641.56449780000003</v>
      </c>
      <c r="S46" s="10">
        <v>514.74727140000005</v>
      </c>
      <c r="T46" s="10">
        <v>605.63648609999996</v>
      </c>
      <c r="U46" s="10">
        <v>671.14723679999997</v>
      </c>
      <c r="V46" s="10">
        <v>523.59433539999998</v>
      </c>
      <c r="W46" s="10">
        <v>720.26374369999996</v>
      </c>
      <c r="X46" s="10">
        <v>422.86322419999999</v>
      </c>
      <c r="Y46" s="10">
        <v>690.00112569999999</v>
      </c>
      <c r="Z46" s="10">
        <v>723.06624710000006</v>
      </c>
      <c r="AA46" s="10">
        <v>638.85873849999996</v>
      </c>
      <c r="AB46" s="10">
        <v>789.38170279999997</v>
      </c>
      <c r="AC46" s="10">
        <v>651.5473336</v>
      </c>
      <c r="AD46" s="10">
        <v>514.08519479999995</v>
      </c>
      <c r="AE46" s="10">
        <v>445.72181740000002</v>
      </c>
      <c r="AF46" s="10">
        <v>609.19115290000002</v>
      </c>
      <c r="AG46" s="10">
        <v>690.48861079999995</v>
      </c>
      <c r="AH46" s="10">
        <f t="shared" si="0"/>
        <v>620.62206289333312</v>
      </c>
      <c r="AI46" s="11">
        <v>0.6</v>
      </c>
      <c r="AJ46" s="10">
        <f t="shared" si="1"/>
        <v>1034.3701048222219</v>
      </c>
      <c r="AK46" s="10">
        <f t="shared" si="2"/>
        <v>10.34370104822222</v>
      </c>
      <c r="AL46" s="12"/>
      <c r="AM46" s="11">
        <f t="shared" si="6"/>
        <v>0.8</v>
      </c>
      <c r="AN46" s="14">
        <f t="shared" si="3"/>
        <v>827.49608385777765</v>
      </c>
      <c r="AO46" s="10" t="s">
        <v>49</v>
      </c>
      <c r="AP46" s="14" t="s">
        <v>50</v>
      </c>
      <c r="AQ46" s="16" t="str">
        <f t="shared" ref="AQ46:AR46" si="49">IF(AS46&gt;1, "ON", "OFF")</f>
        <v>OFF</v>
      </c>
      <c r="AR46" s="16" t="str">
        <f t="shared" si="49"/>
        <v>ON</v>
      </c>
      <c r="AS46" s="15">
        <f>IF(AND(AN46&gt;index!$C$2, AO46="available", AP46="favourable"), index!$C$2, IF(AND(AO46="available", AP46="favourable"), AN46, 0))</f>
        <v>0</v>
      </c>
      <c r="AT46" s="14">
        <f t="shared" si="5"/>
        <v>827.49608385777765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</row>
    <row r="47" spans="1:68" ht="15.75" customHeight="1">
      <c r="A47" s="10">
        <v>22</v>
      </c>
      <c r="B47" s="10">
        <v>79200</v>
      </c>
      <c r="C47" s="10">
        <v>450</v>
      </c>
      <c r="D47" s="10">
        <v>679.42521360000001</v>
      </c>
      <c r="E47" s="10">
        <v>505.4851549</v>
      </c>
      <c r="F47" s="10">
        <v>722.78049280000005</v>
      </c>
      <c r="G47" s="10">
        <v>894.87764549999997</v>
      </c>
      <c r="H47" s="10">
        <v>691.33758580000006</v>
      </c>
      <c r="I47" s="10">
        <v>562.01652990000002</v>
      </c>
      <c r="J47" s="10">
        <v>550.78218119999997</v>
      </c>
      <c r="K47" s="10">
        <v>885.75490230000003</v>
      </c>
      <c r="L47" s="10">
        <v>677.73610980000001</v>
      </c>
      <c r="M47" s="10">
        <v>564.09339030000001</v>
      </c>
      <c r="N47" s="10">
        <v>620.32726990000003</v>
      </c>
      <c r="O47" s="10">
        <v>560.96699279999996</v>
      </c>
      <c r="P47" s="10">
        <v>488.87709310000002</v>
      </c>
      <c r="Q47" s="10">
        <v>844.20565929999998</v>
      </c>
      <c r="R47" s="10">
        <v>825.84078469999997</v>
      </c>
      <c r="S47" s="10">
        <v>658.13714000000004</v>
      </c>
      <c r="T47" s="10">
        <v>639.51361729999996</v>
      </c>
      <c r="U47" s="10">
        <v>766.67037660000005</v>
      </c>
      <c r="V47" s="10">
        <v>736.90888470000004</v>
      </c>
      <c r="W47" s="10">
        <v>656.55475230000002</v>
      </c>
      <c r="X47" s="10">
        <v>830.43132909999997</v>
      </c>
      <c r="Y47" s="10">
        <v>747.84588340000005</v>
      </c>
      <c r="Z47" s="10">
        <v>855.91675039999996</v>
      </c>
      <c r="AA47" s="10">
        <v>746.82518640000001</v>
      </c>
      <c r="AB47" s="10">
        <v>685.99077079999995</v>
      </c>
      <c r="AC47" s="10">
        <v>881.90685180000003</v>
      </c>
      <c r="AD47" s="10">
        <v>899.02958390000003</v>
      </c>
      <c r="AE47" s="10">
        <v>810.82828740000002</v>
      </c>
      <c r="AF47" s="10">
        <v>794.32964890000005</v>
      </c>
      <c r="AG47" s="10">
        <v>598.48560599999996</v>
      </c>
      <c r="AH47" s="10">
        <f t="shared" si="0"/>
        <v>712.79605582999977</v>
      </c>
      <c r="AI47" s="11">
        <v>0.6</v>
      </c>
      <c r="AJ47" s="10">
        <f t="shared" si="1"/>
        <v>1187.9934263833329</v>
      </c>
      <c r="AK47" s="10">
        <f t="shared" si="2"/>
        <v>11.879934263833329</v>
      </c>
      <c r="AL47" s="12"/>
      <c r="AM47" s="11">
        <f t="shared" si="6"/>
        <v>0.8</v>
      </c>
      <c r="AN47" s="14">
        <f t="shared" si="3"/>
        <v>950.3947411066664</v>
      </c>
      <c r="AO47" s="17" t="s">
        <v>49</v>
      </c>
      <c r="AP47" s="14" t="s">
        <v>50</v>
      </c>
      <c r="AQ47" s="16" t="str">
        <f t="shared" ref="AQ47:AR47" si="50">IF(AS47&gt;1, "ON", "OFF")</f>
        <v>OFF</v>
      </c>
      <c r="AR47" s="16" t="str">
        <f t="shared" si="50"/>
        <v>ON</v>
      </c>
      <c r="AS47" s="15">
        <f>IF(AND(AN47&gt;index!$C$2, AO47="available", AP47="favourable"), index!$C$2, IF(AND(AO47="available", AP47="favourable"), AN47, 0))</f>
        <v>0</v>
      </c>
      <c r="AT47" s="14">
        <f t="shared" si="5"/>
        <v>950.3947411066664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</row>
    <row r="48" spans="1:68" ht="15.75" customHeight="1">
      <c r="A48" s="10">
        <v>22.5</v>
      </c>
      <c r="B48" s="10">
        <v>81000</v>
      </c>
      <c r="C48" s="10">
        <v>420</v>
      </c>
      <c r="D48" s="10">
        <v>556.97479039999996</v>
      </c>
      <c r="E48" s="10">
        <v>827.09332410000002</v>
      </c>
      <c r="F48" s="10">
        <v>439.7717973</v>
      </c>
      <c r="G48" s="10">
        <v>833.32520150000005</v>
      </c>
      <c r="H48" s="10">
        <v>601.32126459999995</v>
      </c>
      <c r="I48" s="10">
        <v>639.23126660000003</v>
      </c>
      <c r="J48" s="10">
        <v>454.65954909999999</v>
      </c>
      <c r="K48" s="10">
        <v>700.42267890000005</v>
      </c>
      <c r="L48" s="10">
        <v>600.38150169999994</v>
      </c>
      <c r="M48" s="10">
        <v>785.8984385</v>
      </c>
      <c r="N48" s="10">
        <v>768.06800269999997</v>
      </c>
      <c r="O48" s="10">
        <v>803.12308670000004</v>
      </c>
      <c r="P48" s="10">
        <v>780.67577859999994</v>
      </c>
      <c r="Q48" s="10">
        <v>570.51686180000002</v>
      </c>
      <c r="R48" s="10">
        <v>622.67903269999999</v>
      </c>
      <c r="S48" s="10">
        <v>622.02563640000005</v>
      </c>
      <c r="T48" s="10">
        <v>548.26621669999997</v>
      </c>
      <c r="U48" s="10">
        <v>708.83060880000005</v>
      </c>
      <c r="V48" s="10">
        <v>543.97312030000001</v>
      </c>
      <c r="W48" s="10">
        <v>468.27030480000002</v>
      </c>
      <c r="X48" s="10">
        <v>423.17481859999998</v>
      </c>
      <c r="Y48" s="10">
        <v>654.86306669999999</v>
      </c>
      <c r="Z48" s="10">
        <v>791.88149229999999</v>
      </c>
      <c r="AA48" s="10">
        <v>528.54825649999998</v>
      </c>
      <c r="AB48" s="10">
        <v>422.71884469999998</v>
      </c>
      <c r="AC48" s="10">
        <v>695.16942830000005</v>
      </c>
      <c r="AD48" s="10">
        <v>751.28741230000003</v>
      </c>
      <c r="AE48" s="10">
        <v>741.04638220000004</v>
      </c>
      <c r="AF48" s="10">
        <v>576.80304550000005</v>
      </c>
      <c r="AG48" s="10">
        <v>830.78711550000003</v>
      </c>
      <c r="AH48" s="10">
        <f t="shared" si="0"/>
        <v>643.05961082666681</v>
      </c>
      <c r="AI48" s="11">
        <v>0.6</v>
      </c>
      <c r="AJ48" s="10">
        <f t="shared" si="1"/>
        <v>1071.7660180444448</v>
      </c>
      <c r="AK48" s="10">
        <f t="shared" si="2"/>
        <v>10.717660180444447</v>
      </c>
      <c r="AL48" s="12"/>
      <c r="AM48" s="11">
        <f t="shared" si="6"/>
        <v>0.8</v>
      </c>
      <c r="AN48" s="14">
        <f t="shared" si="3"/>
        <v>857.4128144355559</v>
      </c>
      <c r="AO48" s="10" t="s">
        <v>49</v>
      </c>
      <c r="AP48" s="14" t="s">
        <v>50</v>
      </c>
      <c r="AQ48" s="16" t="str">
        <f t="shared" ref="AQ48:AR48" si="51">IF(AS48&gt;1, "ON", "OFF")</f>
        <v>OFF</v>
      </c>
      <c r="AR48" s="16" t="str">
        <f t="shared" si="51"/>
        <v>ON</v>
      </c>
      <c r="AS48" s="15">
        <f>IF(AND(AN48&gt;index!$C$2, AO48="available", AP48="favourable"), index!$C$2, IF(AND(AO48="available", AP48="favourable"), AN48, 0))</f>
        <v>0</v>
      </c>
      <c r="AT48" s="14">
        <f t="shared" si="5"/>
        <v>857.4128144355559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</row>
    <row r="49" spans="1:68" ht="15.75" customHeight="1">
      <c r="A49" s="10">
        <v>23</v>
      </c>
      <c r="B49" s="10">
        <v>82800</v>
      </c>
      <c r="C49" s="10">
        <v>430</v>
      </c>
      <c r="D49" s="10">
        <v>815.83778970000003</v>
      </c>
      <c r="E49" s="10">
        <v>567.94594910000001</v>
      </c>
      <c r="F49" s="10">
        <v>747.45991660000004</v>
      </c>
      <c r="G49" s="10">
        <v>623.1090355</v>
      </c>
      <c r="H49" s="10">
        <v>585.70085849999998</v>
      </c>
      <c r="I49" s="10">
        <v>474.06575980000002</v>
      </c>
      <c r="J49" s="10">
        <v>479.15714839999998</v>
      </c>
      <c r="K49" s="10">
        <v>578.28175450000003</v>
      </c>
      <c r="L49" s="10">
        <v>500.55545160000003</v>
      </c>
      <c r="M49" s="10">
        <v>843.57549329999995</v>
      </c>
      <c r="N49" s="10">
        <v>668.02946650000001</v>
      </c>
      <c r="O49" s="10">
        <v>571.25834029999999</v>
      </c>
      <c r="P49" s="10">
        <v>848.15075899999999</v>
      </c>
      <c r="Q49" s="10">
        <v>718.03525420000005</v>
      </c>
      <c r="R49" s="10">
        <v>633.97928490000004</v>
      </c>
      <c r="S49" s="10">
        <v>795.79847459999996</v>
      </c>
      <c r="T49" s="10">
        <v>539.08194409999999</v>
      </c>
      <c r="U49" s="10">
        <v>805.53662540000005</v>
      </c>
      <c r="V49" s="10">
        <v>645.42450919999999</v>
      </c>
      <c r="W49" s="10">
        <v>537.47702660000004</v>
      </c>
      <c r="X49" s="10">
        <v>742.25692770000001</v>
      </c>
      <c r="Y49" s="10">
        <v>820.94472510000003</v>
      </c>
      <c r="Z49" s="10">
        <v>772.04328869999995</v>
      </c>
      <c r="AA49" s="10">
        <v>553.31681570000001</v>
      </c>
      <c r="AB49" s="10">
        <v>615.47738830000003</v>
      </c>
      <c r="AC49" s="10">
        <v>690.60582890000001</v>
      </c>
      <c r="AD49" s="10">
        <v>817.52034270000001</v>
      </c>
      <c r="AE49" s="10">
        <v>782.11676339999997</v>
      </c>
      <c r="AF49" s="10">
        <v>603.86113190000003</v>
      </c>
      <c r="AG49" s="10">
        <v>693.08272850000003</v>
      </c>
      <c r="AH49" s="10">
        <f t="shared" si="0"/>
        <v>668.9895594233335</v>
      </c>
      <c r="AI49" s="11">
        <v>0.6</v>
      </c>
      <c r="AJ49" s="10">
        <f t="shared" si="1"/>
        <v>1114.9825990388892</v>
      </c>
      <c r="AK49" s="10">
        <f t="shared" si="2"/>
        <v>11.149825990388893</v>
      </c>
      <c r="AL49" s="12"/>
      <c r="AM49" s="11">
        <f t="shared" si="6"/>
        <v>0.8</v>
      </c>
      <c r="AN49" s="14">
        <f t="shared" si="3"/>
        <v>891.98607923111149</v>
      </c>
      <c r="AO49" s="10" t="s">
        <v>49</v>
      </c>
      <c r="AP49" s="14" t="s">
        <v>50</v>
      </c>
      <c r="AQ49" s="16" t="str">
        <f t="shared" ref="AQ49:AR49" si="52">IF(AS49&gt;1, "ON", "OFF")</f>
        <v>OFF</v>
      </c>
      <c r="AR49" s="16" t="str">
        <f t="shared" si="52"/>
        <v>ON</v>
      </c>
      <c r="AS49" s="15">
        <f>IF(AND(AN49&gt;index!$C$2, AO49="available", AP49="favourable"), index!$C$2, IF(AND(AO49="available", AP49="favourable"), AN49, 0))</f>
        <v>0</v>
      </c>
      <c r="AT49" s="14">
        <f t="shared" si="5"/>
        <v>891.98607923111149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</row>
    <row r="50" spans="1:68" ht="15.75" customHeight="1">
      <c r="A50" s="10">
        <v>23.5</v>
      </c>
      <c r="B50" s="10">
        <v>84600</v>
      </c>
      <c r="C50" s="10">
        <v>420</v>
      </c>
      <c r="D50" s="10">
        <v>529.42197859999999</v>
      </c>
      <c r="E50" s="10">
        <v>445.43309670000002</v>
      </c>
      <c r="F50" s="10">
        <v>548.48434429999998</v>
      </c>
      <c r="G50" s="10">
        <v>755.52599310000005</v>
      </c>
      <c r="H50" s="10">
        <v>798.80713249999997</v>
      </c>
      <c r="I50" s="10">
        <v>715.31456990000004</v>
      </c>
      <c r="J50" s="10">
        <v>809.32870519999994</v>
      </c>
      <c r="K50" s="10">
        <v>548.28084569999999</v>
      </c>
      <c r="L50" s="10">
        <v>737.73851549999995</v>
      </c>
      <c r="M50" s="10">
        <v>469.39364499999999</v>
      </c>
      <c r="N50" s="10">
        <v>689.42447070000003</v>
      </c>
      <c r="O50" s="10">
        <v>828.49325759999999</v>
      </c>
      <c r="P50" s="10">
        <v>460.15827960000001</v>
      </c>
      <c r="Q50" s="10">
        <v>782.77013169999998</v>
      </c>
      <c r="R50" s="10">
        <v>469.76617090000002</v>
      </c>
      <c r="S50" s="10">
        <v>492.62383019999999</v>
      </c>
      <c r="T50" s="10">
        <v>455.20515210000002</v>
      </c>
      <c r="U50" s="10">
        <v>430.96441499999997</v>
      </c>
      <c r="V50" s="10">
        <v>789.49369820000004</v>
      </c>
      <c r="W50" s="10">
        <v>500.07214390000001</v>
      </c>
      <c r="X50" s="10">
        <v>486.83039880000001</v>
      </c>
      <c r="Y50" s="10">
        <v>443.57049009999997</v>
      </c>
      <c r="Z50" s="10">
        <v>735.86887119999994</v>
      </c>
      <c r="AA50" s="10">
        <v>665.15862549999997</v>
      </c>
      <c r="AB50" s="10">
        <v>571.09081739999999</v>
      </c>
      <c r="AC50" s="10">
        <v>594.22744499999999</v>
      </c>
      <c r="AD50" s="10">
        <v>429.08160900000001</v>
      </c>
      <c r="AE50" s="10">
        <v>524.89957300000003</v>
      </c>
      <c r="AF50" s="10">
        <v>663.9495038</v>
      </c>
      <c r="AG50" s="10">
        <v>771.17337510000004</v>
      </c>
      <c r="AH50" s="10">
        <f t="shared" si="0"/>
        <v>604.75170284333342</v>
      </c>
      <c r="AI50" s="11">
        <v>0.6</v>
      </c>
      <c r="AJ50" s="10">
        <f t="shared" si="1"/>
        <v>1007.919504738889</v>
      </c>
      <c r="AK50" s="10">
        <f t="shared" si="2"/>
        <v>10.07919504738889</v>
      </c>
      <c r="AL50" s="12"/>
      <c r="AM50" s="11">
        <f t="shared" si="6"/>
        <v>0.8</v>
      </c>
      <c r="AN50" s="14">
        <f t="shared" si="3"/>
        <v>806.33560379111123</v>
      </c>
      <c r="AO50" s="10" t="s">
        <v>49</v>
      </c>
      <c r="AP50" s="14" t="s">
        <v>50</v>
      </c>
      <c r="AQ50" s="16" t="str">
        <f t="shared" ref="AQ50:AR50" si="53">IF(AS50&gt;1, "ON", "OFF")</f>
        <v>OFF</v>
      </c>
      <c r="AR50" s="16" t="str">
        <f t="shared" si="53"/>
        <v>ON</v>
      </c>
      <c r="AS50" s="15">
        <f>IF(AND(AN50&gt;index!$C$2, AO50="available", AP50="favourable"), index!$C$2, IF(AND(AO50="available", AP50="favourable"), AN50, 0))</f>
        <v>0</v>
      </c>
      <c r="AT50" s="14">
        <f t="shared" si="5"/>
        <v>806.33560379111123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</row>
  </sheetData>
  <mergeCells count="3">
    <mergeCell ref="A1:A2"/>
    <mergeCell ref="B1:AN1"/>
    <mergeCell ref="AO1:AT1"/>
  </mergeCell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C47D"/>
    <outlinePr summaryBelow="0" summaryRight="0"/>
  </sheetPr>
  <dimension ref="A1:Z5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21.7109375" customWidth="1"/>
  </cols>
  <sheetData>
    <row r="1" spans="1:26">
      <c r="A1" s="18" t="s">
        <v>53</v>
      </c>
      <c r="B1" s="18" t="s">
        <v>54</v>
      </c>
      <c r="C1" s="18" t="s">
        <v>55</v>
      </c>
      <c r="D1" s="18" t="s">
        <v>56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7" t="s">
        <v>57</v>
      </c>
      <c r="B2" s="17" t="s">
        <v>58</v>
      </c>
      <c r="C2" s="17">
        <v>500</v>
      </c>
      <c r="D2" s="17" t="s">
        <v>59</v>
      </c>
    </row>
    <row r="3" spans="1:26">
      <c r="A3" s="17" t="s">
        <v>60</v>
      </c>
      <c r="B3" s="17" t="s">
        <v>58</v>
      </c>
      <c r="C3" s="17">
        <v>3500</v>
      </c>
      <c r="D3" s="17" t="s">
        <v>59</v>
      </c>
    </row>
    <row r="4" spans="1:26">
      <c r="A4" s="17" t="s">
        <v>61</v>
      </c>
      <c r="B4" s="17" t="s">
        <v>62</v>
      </c>
      <c r="D4" s="17" t="s">
        <v>63</v>
      </c>
    </row>
    <row r="5" spans="1:26">
      <c r="A5" s="17" t="s">
        <v>64</v>
      </c>
      <c r="B5" s="17" t="s">
        <v>62</v>
      </c>
      <c r="D5" s="17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C0D6-F8AD-4ADB-B239-BDC4D154569F}">
  <dimension ref="A1:AO49"/>
  <sheetViews>
    <sheetView workbookViewId="0">
      <selection activeCell="E1" sqref="E1:E1048576"/>
    </sheetView>
  </sheetViews>
  <sheetFormatPr defaultRowHeight="15"/>
  <cols>
    <col min="1" max="2" width="9.140625" style="24"/>
    <col min="3" max="3" width="13.28515625" style="24" customWidth="1"/>
    <col min="4" max="4" width="14.85546875" style="24" customWidth="1"/>
    <col min="5" max="5" width="17.28515625" customWidth="1"/>
    <col min="6" max="6" width="9.140625" style="24"/>
    <col min="7" max="7" width="13.28515625" style="24" customWidth="1"/>
    <col min="8" max="8" width="9.140625" style="24"/>
    <col min="9" max="9" width="16.7109375" customWidth="1"/>
    <col min="10" max="10" width="9.140625" style="24"/>
    <col min="11" max="11" width="13.28515625" style="24" customWidth="1"/>
    <col min="12" max="12" width="9.140625" style="24"/>
    <col min="14" max="14" width="9.140625" style="24"/>
    <col min="15" max="15" width="13.28515625" style="24" customWidth="1"/>
    <col min="16" max="16" width="9.140625" style="24"/>
    <col min="18" max="18" width="9.140625" style="24"/>
    <col min="19" max="19" width="13.28515625" style="24" customWidth="1"/>
    <col min="20" max="20" width="9.140625" style="24"/>
    <col min="22" max="22" width="9.140625" style="24"/>
    <col min="23" max="23" width="13.28515625" style="24" customWidth="1"/>
    <col min="24" max="24" width="9.140625" style="24"/>
    <col min="26" max="26" width="9.140625" style="24"/>
    <col min="27" max="27" width="13.28515625" style="24" customWidth="1"/>
    <col min="28" max="28" width="9.140625" style="24"/>
    <col min="30" max="30" width="9.140625" style="24"/>
    <col min="31" max="31" width="13.28515625" style="24" customWidth="1"/>
    <col min="32" max="32" width="9.140625" style="24"/>
    <col min="34" max="34" width="9.140625" style="24"/>
    <col min="35" max="35" width="13.28515625" style="24" customWidth="1"/>
    <col min="36" max="36" width="9.140625" style="24"/>
    <col min="38" max="38" width="9.140625" style="24"/>
    <col min="39" max="39" width="13.28515625" style="24" customWidth="1"/>
    <col min="40" max="40" width="9.140625" style="24"/>
  </cols>
  <sheetData>
    <row r="1" spans="1:41">
      <c r="A1" s="19" t="s">
        <v>3</v>
      </c>
      <c r="B1" s="10" t="s">
        <v>8</v>
      </c>
      <c r="C1" s="24" t="s">
        <v>69</v>
      </c>
      <c r="D1" s="24" t="s">
        <v>69</v>
      </c>
      <c r="E1" s="24" t="s">
        <v>70</v>
      </c>
      <c r="F1" s="10" t="s">
        <v>9</v>
      </c>
      <c r="G1" s="24" t="s">
        <v>69</v>
      </c>
      <c r="H1" s="24" t="s">
        <v>69</v>
      </c>
      <c r="I1" s="24" t="s">
        <v>70</v>
      </c>
      <c r="J1" s="10" t="s">
        <v>10</v>
      </c>
      <c r="K1" s="24" t="s">
        <v>69</v>
      </c>
      <c r="L1" s="24" t="s">
        <v>69</v>
      </c>
      <c r="M1" s="24" t="s">
        <v>71</v>
      </c>
      <c r="N1" s="10" t="s">
        <v>11</v>
      </c>
      <c r="O1" s="24" t="s">
        <v>69</v>
      </c>
      <c r="P1" s="24" t="s">
        <v>69</v>
      </c>
      <c r="Q1" s="24" t="s">
        <v>71</v>
      </c>
      <c r="R1" s="10" t="s">
        <v>12</v>
      </c>
      <c r="S1" s="24" t="s">
        <v>69</v>
      </c>
      <c r="T1" s="24" t="s">
        <v>69</v>
      </c>
      <c r="U1" s="24" t="s">
        <v>71</v>
      </c>
      <c r="V1" s="10" t="s">
        <v>13</v>
      </c>
      <c r="W1" s="24" t="s">
        <v>69</v>
      </c>
      <c r="X1" s="24" t="s">
        <v>69</v>
      </c>
      <c r="Y1" s="24" t="s">
        <v>71</v>
      </c>
      <c r="Z1" s="10" t="s">
        <v>14</v>
      </c>
      <c r="AA1" s="24" t="s">
        <v>69</v>
      </c>
      <c r="AB1" s="24" t="s">
        <v>69</v>
      </c>
      <c r="AC1" s="24" t="s">
        <v>71</v>
      </c>
      <c r="AD1" s="10" t="s">
        <v>15</v>
      </c>
      <c r="AE1" s="24" t="s">
        <v>69</v>
      </c>
      <c r="AF1" s="24" t="s">
        <v>69</v>
      </c>
      <c r="AG1" s="24" t="s">
        <v>71</v>
      </c>
      <c r="AH1" s="10" t="s">
        <v>16</v>
      </c>
      <c r="AI1" s="24" t="s">
        <v>69</v>
      </c>
      <c r="AJ1" s="24" t="s">
        <v>69</v>
      </c>
      <c r="AK1" s="24" t="s">
        <v>71</v>
      </c>
      <c r="AL1" s="10" t="s">
        <v>17</v>
      </c>
      <c r="AM1" s="24" t="s">
        <v>69</v>
      </c>
      <c r="AN1" s="24" t="s">
        <v>69</v>
      </c>
      <c r="AO1" s="24" t="s">
        <v>71</v>
      </c>
    </row>
    <row r="2" spans="1:41">
      <c r="A2" s="10">
        <v>0</v>
      </c>
      <c r="B2" s="10">
        <v>920.7886221</v>
      </c>
      <c r="C2" s="24">
        <v>1</v>
      </c>
      <c r="D2" s="10">
        <v>920.7886221</v>
      </c>
      <c r="E2" s="24">
        <v>0</v>
      </c>
      <c r="F2" s="10">
        <v>905.78067180000005</v>
      </c>
      <c r="G2" s="24">
        <v>1</v>
      </c>
      <c r="H2" s="10">
        <v>905.78067180000005</v>
      </c>
      <c r="I2" s="24">
        <v>0</v>
      </c>
      <c r="J2" s="10">
        <v>1175.143957</v>
      </c>
      <c r="K2" s="24">
        <v>1</v>
      </c>
      <c r="L2" s="10">
        <v>1175.143957</v>
      </c>
      <c r="M2" s="24">
        <v>0</v>
      </c>
      <c r="N2" s="10">
        <v>735.80151720000003</v>
      </c>
      <c r="O2" s="24">
        <v>1</v>
      </c>
      <c r="P2" s="10">
        <v>735.80151720000003</v>
      </c>
      <c r="Q2" s="24">
        <v>0</v>
      </c>
      <c r="R2" s="10">
        <v>1028.3563779999999</v>
      </c>
      <c r="S2" s="24">
        <v>1</v>
      </c>
      <c r="T2" s="10">
        <v>1028.3563779999999</v>
      </c>
      <c r="U2" s="24">
        <v>0</v>
      </c>
      <c r="V2" s="10">
        <v>1092.0700429999999</v>
      </c>
      <c r="W2" s="24">
        <v>1</v>
      </c>
      <c r="X2" s="10">
        <v>1092.0700429999999</v>
      </c>
      <c r="Y2" s="24">
        <v>0</v>
      </c>
      <c r="Z2" s="10">
        <v>1087.3378769999999</v>
      </c>
      <c r="AA2" s="24">
        <v>1</v>
      </c>
      <c r="AB2" s="10">
        <v>1087.3378769999999</v>
      </c>
      <c r="AC2" s="24">
        <v>0</v>
      </c>
      <c r="AD2" s="10">
        <v>867.24115730000005</v>
      </c>
      <c r="AE2" s="24">
        <v>1</v>
      </c>
      <c r="AF2" s="10">
        <v>867.24115730000005</v>
      </c>
      <c r="AG2" s="24">
        <v>0</v>
      </c>
      <c r="AH2" s="10">
        <v>847.52713129999995</v>
      </c>
      <c r="AI2" s="24">
        <v>1</v>
      </c>
      <c r="AJ2" s="10">
        <v>847.52713129999995</v>
      </c>
      <c r="AK2" s="24">
        <v>0</v>
      </c>
      <c r="AL2" s="10">
        <v>1057.4596509999999</v>
      </c>
      <c r="AM2" s="24">
        <v>1</v>
      </c>
      <c r="AN2" s="10">
        <v>1057.4596509999999</v>
      </c>
      <c r="AO2" s="24">
        <v>0</v>
      </c>
    </row>
    <row r="3" spans="1:41">
      <c r="A3" s="10">
        <v>0.5</v>
      </c>
      <c r="B3" s="10">
        <v>935.81941519999998</v>
      </c>
      <c r="C3" s="24">
        <v>1</v>
      </c>
      <c r="D3" s="10">
        <v>935.81941519999998</v>
      </c>
      <c r="E3" s="24">
        <v>0</v>
      </c>
      <c r="F3" s="10">
        <v>598.54699459999995</v>
      </c>
      <c r="G3" s="24">
        <v>1</v>
      </c>
      <c r="H3" s="10">
        <v>598.54699459999995</v>
      </c>
      <c r="I3" s="24">
        <v>0</v>
      </c>
      <c r="J3" s="10">
        <v>854.26880800000004</v>
      </c>
      <c r="K3" s="24">
        <v>1</v>
      </c>
      <c r="L3" s="10">
        <v>854.26880800000004</v>
      </c>
      <c r="M3" s="24">
        <v>0</v>
      </c>
      <c r="N3" s="10">
        <v>975.55024209999999</v>
      </c>
      <c r="O3" s="24">
        <v>1</v>
      </c>
      <c r="P3" s="10">
        <v>975.55024209999999</v>
      </c>
      <c r="Q3" s="24">
        <v>0</v>
      </c>
      <c r="R3" s="10">
        <v>860.77255270000001</v>
      </c>
      <c r="S3" s="24">
        <v>1</v>
      </c>
      <c r="T3" s="10">
        <v>860.77255270000001</v>
      </c>
      <c r="U3" s="24">
        <v>0</v>
      </c>
      <c r="V3" s="10">
        <v>980.80803579999997</v>
      </c>
      <c r="W3" s="24">
        <v>1</v>
      </c>
      <c r="X3" s="10">
        <v>980.80803579999997</v>
      </c>
      <c r="Y3" s="24">
        <v>0</v>
      </c>
      <c r="Z3" s="10">
        <v>714.55348770000001</v>
      </c>
      <c r="AA3" s="24">
        <v>1</v>
      </c>
      <c r="AB3" s="10">
        <v>714.55348770000001</v>
      </c>
      <c r="AC3" s="24">
        <v>0</v>
      </c>
      <c r="AD3" s="10">
        <v>516.08057110000004</v>
      </c>
      <c r="AE3" s="24">
        <v>1</v>
      </c>
      <c r="AF3" s="10">
        <v>516.08057110000004</v>
      </c>
      <c r="AG3" s="24">
        <v>0</v>
      </c>
      <c r="AH3" s="10">
        <v>989.80125799999996</v>
      </c>
      <c r="AI3" s="24">
        <v>1</v>
      </c>
      <c r="AJ3" s="10">
        <v>989.80125799999996</v>
      </c>
      <c r="AK3" s="24">
        <v>0</v>
      </c>
      <c r="AL3" s="10">
        <v>706.24266399999999</v>
      </c>
      <c r="AM3" s="24">
        <v>1</v>
      </c>
      <c r="AN3" s="10">
        <v>706.24266399999999</v>
      </c>
      <c r="AO3" s="24">
        <v>0</v>
      </c>
    </row>
    <row r="4" spans="1:41">
      <c r="A4" s="10">
        <v>1</v>
      </c>
      <c r="B4" s="10">
        <v>326.85595649999999</v>
      </c>
      <c r="C4" s="24">
        <v>1</v>
      </c>
      <c r="D4" s="10">
        <v>326.85595649999999</v>
      </c>
      <c r="E4" s="24">
        <v>0</v>
      </c>
      <c r="F4" s="10">
        <v>286.70335540000002</v>
      </c>
      <c r="G4" s="24">
        <v>1</v>
      </c>
      <c r="H4" s="10">
        <v>286.70335540000002</v>
      </c>
      <c r="I4" s="24">
        <v>0</v>
      </c>
      <c r="J4" s="10">
        <v>232.33887100000001</v>
      </c>
      <c r="K4" s="24">
        <v>1</v>
      </c>
      <c r="L4" s="10">
        <v>232.33887100000001</v>
      </c>
      <c r="M4" s="24">
        <v>0</v>
      </c>
      <c r="N4" s="10">
        <v>348.15515499999998</v>
      </c>
      <c r="O4" s="24">
        <v>1</v>
      </c>
      <c r="P4" s="10">
        <v>348.15515499999998</v>
      </c>
      <c r="Q4" s="24">
        <v>0</v>
      </c>
      <c r="R4" s="10">
        <v>378.45835529999999</v>
      </c>
      <c r="S4" s="24">
        <v>1</v>
      </c>
      <c r="T4" s="10">
        <v>378.45835529999999</v>
      </c>
      <c r="U4" s="24">
        <v>0</v>
      </c>
      <c r="V4" s="10">
        <v>366.31186910000002</v>
      </c>
      <c r="W4" s="24">
        <v>1</v>
      </c>
      <c r="X4" s="10">
        <v>366.31186910000002</v>
      </c>
      <c r="Y4" s="24">
        <v>0</v>
      </c>
      <c r="Z4" s="10">
        <v>364.01482620000002</v>
      </c>
      <c r="AA4" s="24">
        <v>1</v>
      </c>
      <c r="AB4" s="10">
        <v>364.01482620000002</v>
      </c>
      <c r="AC4" s="24">
        <v>0</v>
      </c>
      <c r="AD4" s="10">
        <v>266.5080567</v>
      </c>
      <c r="AE4" s="24">
        <v>1</v>
      </c>
      <c r="AF4" s="10">
        <v>266.5080567</v>
      </c>
      <c r="AG4" s="24">
        <v>0</v>
      </c>
      <c r="AH4" s="10">
        <v>266.31547560000001</v>
      </c>
      <c r="AI4" s="24">
        <v>1</v>
      </c>
      <c r="AJ4" s="10">
        <v>266.31547560000001</v>
      </c>
      <c r="AK4" s="24">
        <v>0</v>
      </c>
      <c r="AL4" s="10">
        <v>389.40246089999999</v>
      </c>
      <c r="AM4" s="24">
        <v>1</v>
      </c>
      <c r="AN4" s="10">
        <v>389.40246089999999</v>
      </c>
      <c r="AO4" s="24">
        <v>0</v>
      </c>
    </row>
    <row r="5" spans="1:41">
      <c r="A5" s="10">
        <v>1.5</v>
      </c>
      <c r="B5" s="10">
        <v>267.52456560000002</v>
      </c>
      <c r="C5" s="24">
        <v>1</v>
      </c>
      <c r="D5" s="10">
        <v>267.52456560000002</v>
      </c>
      <c r="E5" s="24">
        <v>0</v>
      </c>
      <c r="F5" s="10">
        <v>247.32395550000001</v>
      </c>
      <c r="G5" s="24">
        <v>1</v>
      </c>
      <c r="H5" s="10">
        <v>247.32395550000001</v>
      </c>
      <c r="I5" s="24">
        <v>0</v>
      </c>
      <c r="J5" s="10">
        <v>197.1410544</v>
      </c>
      <c r="K5" s="24">
        <v>1</v>
      </c>
      <c r="L5" s="10">
        <v>197.1410544</v>
      </c>
      <c r="M5" s="24">
        <v>0</v>
      </c>
      <c r="N5" s="10">
        <v>301.4005219</v>
      </c>
      <c r="O5" s="24">
        <v>1</v>
      </c>
      <c r="P5" s="10">
        <v>301.4005219</v>
      </c>
      <c r="Q5" s="24">
        <v>0</v>
      </c>
      <c r="R5" s="10">
        <v>354.0964803</v>
      </c>
      <c r="S5" s="24">
        <v>1</v>
      </c>
      <c r="T5" s="10">
        <v>354.0964803</v>
      </c>
      <c r="U5" s="24">
        <v>0</v>
      </c>
      <c r="V5" s="10">
        <v>285.37788399999999</v>
      </c>
      <c r="W5" s="24">
        <v>1</v>
      </c>
      <c r="X5" s="10">
        <v>285.37788399999999</v>
      </c>
      <c r="Y5" s="24">
        <v>0</v>
      </c>
      <c r="Z5" s="10">
        <v>300.392607</v>
      </c>
      <c r="AA5" s="24">
        <v>1</v>
      </c>
      <c r="AB5" s="10">
        <v>300.392607</v>
      </c>
      <c r="AC5" s="24">
        <v>0</v>
      </c>
      <c r="AD5" s="10">
        <v>347.20015139999998</v>
      </c>
      <c r="AE5" s="24">
        <v>1</v>
      </c>
      <c r="AF5" s="10">
        <v>347.20015139999998</v>
      </c>
      <c r="AG5" s="24">
        <v>0</v>
      </c>
      <c r="AH5" s="10">
        <v>355.30568030000001</v>
      </c>
      <c r="AI5" s="24">
        <v>1</v>
      </c>
      <c r="AJ5" s="10">
        <v>355.30568030000001</v>
      </c>
      <c r="AK5" s="24">
        <v>0</v>
      </c>
      <c r="AL5" s="10">
        <v>268.67860669999999</v>
      </c>
      <c r="AM5" s="24">
        <v>1</v>
      </c>
      <c r="AN5" s="10">
        <v>268.67860669999999</v>
      </c>
      <c r="AO5" s="24">
        <v>0</v>
      </c>
    </row>
    <row r="6" spans="1:41">
      <c r="A6" s="10">
        <v>2</v>
      </c>
      <c r="B6" s="10">
        <v>207.05693350000001</v>
      </c>
      <c r="C6" s="24">
        <v>1</v>
      </c>
      <c r="D6" s="10">
        <v>207.05693350000001</v>
      </c>
      <c r="E6" s="24">
        <v>0</v>
      </c>
      <c r="F6" s="10">
        <v>176.1479573</v>
      </c>
      <c r="G6" s="24">
        <v>1</v>
      </c>
      <c r="H6" s="10">
        <v>176.1479573</v>
      </c>
      <c r="I6" s="24">
        <v>0</v>
      </c>
      <c r="J6" s="10">
        <v>191.41681030000001</v>
      </c>
      <c r="K6" s="24">
        <v>1</v>
      </c>
      <c r="L6" s="10">
        <v>191.41681030000001</v>
      </c>
      <c r="M6" s="24">
        <v>0</v>
      </c>
      <c r="N6" s="10">
        <v>257.81148439999998</v>
      </c>
      <c r="O6" s="24">
        <v>1</v>
      </c>
      <c r="P6" s="10">
        <v>257.81148439999998</v>
      </c>
      <c r="Q6" s="24">
        <v>0</v>
      </c>
      <c r="R6" s="10">
        <v>252.59311439999999</v>
      </c>
      <c r="S6" s="24">
        <v>1</v>
      </c>
      <c r="T6" s="10">
        <v>252.59311439999999</v>
      </c>
      <c r="U6" s="24">
        <v>0</v>
      </c>
      <c r="V6" s="10">
        <v>179.4183519</v>
      </c>
      <c r="W6" s="24">
        <v>1</v>
      </c>
      <c r="X6" s="10">
        <v>179.4183519</v>
      </c>
      <c r="Y6" s="24">
        <v>0</v>
      </c>
      <c r="Z6" s="10">
        <v>234.8919511</v>
      </c>
      <c r="AA6" s="24">
        <v>1</v>
      </c>
      <c r="AB6" s="10">
        <v>234.8919511</v>
      </c>
      <c r="AC6" s="24">
        <v>0</v>
      </c>
      <c r="AD6" s="10">
        <v>264.68048929999998</v>
      </c>
      <c r="AE6" s="24">
        <v>1</v>
      </c>
      <c r="AF6" s="10">
        <v>264.68048929999998</v>
      </c>
      <c r="AG6" s="24">
        <v>0</v>
      </c>
      <c r="AH6" s="10">
        <v>186.76560219999999</v>
      </c>
      <c r="AI6" s="24">
        <v>1</v>
      </c>
      <c r="AJ6" s="10">
        <v>186.76560219999999</v>
      </c>
      <c r="AK6" s="24">
        <v>0</v>
      </c>
      <c r="AL6" s="10">
        <v>193.3405928</v>
      </c>
      <c r="AM6" s="24">
        <v>1</v>
      </c>
      <c r="AN6" s="10">
        <v>193.3405928</v>
      </c>
      <c r="AO6" s="24">
        <v>0</v>
      </c>
    </row>
    <row r="7" spans="1:41">
      <c r="A7" s="10">
        <v>2.5</v>
      </c>
      <c r="B7" s="10">
        <v>201.69830260000001</v>
      </c>
      <c r="C7" s="24">
        <v>1</v>
      </c>
      <c r="D7" s="10">
        <v>201.69830260000001</v>
      </c>
      <c r="E7" s="24">
        <v>0</v>
      </c>
      <c r="F7" s="10">
        <v>155.374819</v>
      </c>
      <c r="G7" s="24">
        <v>1</v>
      </c>
      <c r="H7" s="10">
        <v>155.374819</v>
      </c>
      <c r="I7" s="24">
        <v>0</v>
      </c>
      <c r="J7" s="10">
        <v>151.01494890000001</v>
      </c>
      <c r="K7" s="24">
        <v>1</v>
      </c>
      <c r="L7" s="10">
        <v>151.01494890000001</v>
      </c>
      <c r="M7" s="24">
        <v>0</v>
      </c>
      <c r="N7" s="10">
        <v>178.59532390000001</v>
      </c>
      <c r="O7" s="24">
        <v>1</v>
      </c>
      <c r="P7" s="10">
        <v>178.59532390000001</v>
      </c>
      <c r="Q7" s="24">
        <v>0</v>
      </c>
      <c r="R7" s="10">
        <v>184.5723496</v>
      </c>
      <c r="S7" s="24">
        <v>1</v>
      </c>
      <c r="T7" s="10">
        <v>184.5723496</v>
      </c>
      <c r="U7" s="24">
        <v>0</v>
      </c>
      <c r="V7" s="10">
        <v>202.07799990000001</v>
      </c>
      <c r="W7" s="24">
        <v>1</v>
      </c>
      <c r="X7" s="10">
        <v>202.07799990000001</v>
      </c>
      <c r="Y7" s="24">
        <v>0</v>
      </c>
      <c r="Z7" s="10">
        <v>148.4295449</v>
      </c>
      <c r="AA7" s="24">
        <v>1</v>
      </c>
      <c r="AB7" s="10">
        <v>148.4295449</v>
      </c>
      <c r="AC7" s="24">
        <v>0</v>
      </c>
      <c r="AD7" s="10">
        <v>205.67259419999999</v>
      </c>
      <c r="AE7" s="24">
        <v>1</v>
      </c>
      <c r="AF7" s="10">
        <v>205.67259419999999</v>
      </c>
      <c r="AG7" s="24">
        <v>0</v>
      </c>
      <c r="AH7" s="10">
        <v>219.96156590000001</v>
      </c>
      <c r="AI7" s="24">
        <v>1</v>
      </c>
      <c r="AJ7" s="10">
        <v>219.96156590000001</v>
      </c>
      <c r="AK7" s="24">
        <v>0</v>
      </c>
      <c r="AL7" s="10">
        <v>213.69229350000001</v>
      </c>
      <c r="AM7" s="24">
        <v>1</v>
      </c>
      <c r="AN7" s="10">
        <v>213.69229350000001</v>
      </c>
      <c r="AO7" s="24">
        <v>0</v>
      </c>
    </row>
    <row r="8" spans="1:41">
      <c r="A8" s="10">
        <v>3</v>
      </c>
      <c r="B8" s="10">
        <v>168.62678700000001</v>
      </c>
      <c r="C8" s="24">
        <v>1</v>
      </c>
      <c r="D8" s="10">
        <v>168.62678700000001</v>
      </c>
      <c r="E8" s="24">
        <v>0</v>
      </c>
      <c r="F8" s="10">
        <v>149.25085110000001</v>
      </c>
      <c r="G8" s="24">
        <v>1</v>
      </c>
      <c r="H8" s="10">
        <v>149.25085110000001</v>
      </c>
      <c r="I8" s="24">
        <v>0</v>
      </c>
      <c r="J8" s="10">
        <v>151.32308359999999</v>
      </c>
      <c r="K8" s="24">
        <v>1</v>
      </c>
      <c r="L8" s="10">
        <v>151.32308359999999</v>
      </c>
      <c r="M8" s="24">
        <v>0</v>
      </c>
      <c r="N8" s="10">
        <v>107.5126324</v>
      </c>
      <c r="O8" s="24">
        <v>1</v>
      </c>
      <c r="P8" s="10">
        <v>107.5126324</v>
      </c>
      <c r="Q8" s="24">
        <v>0</v>
      </c>
      <c r="R8" s="10">
        <v>161.1267172</v>
      </c>
      <c r="S8" s="24">
        <v>1</v>
      </c>
      <c r="T8" s="10">
        <v>161.1267172</v>
      </c>
      <c r="U8" s="24">
        <v>0</v>
      </c>
      <c r="V8" s="10">
        <v>144.1699897</v>
      </c>
      <c r="W8" s="24">
        <v>1</v>
      </c>
      <c r="X8" s="10">
        <v>144.1699897</v>
      </c>
      <c r="Y8" s="24">
        <v>0</v>
      </c>
      <c r="Z8" s="10">
        <v>155.0174767</v>
      </c>
      <c r="AA8" s="24">
        <v>1</v>
      </c>
      <c r="AB8" s="10">
        <v>155.0174767</v>
      </c>
      <c r="AC8" s="24">
        <v>0</v>
      </c>
      <c r="AD8" s="10">
        <v>178.21309049999999</v>
      </c>
      <c r="AE8" s="24">
        <v>1</v>
      </c>
      <c r="AF8" s="10">
        <v>178.21309049999999</v>
      </c>
      <c r="AG8" s="24">
        <v>0</v>
      </c>
      <c r="AH8" s="10">
        <v>154.41680690000001</v>
      </c>
      <c r="AI8" s="24">
        <v>1</v>
      </c>
      <c r="AJ8" s="10">
        <v>154.41680690000001</v>
      </c>
      <c r="AK8" s="24">
        <v>0</v>
      </c>
      <c r="AL8" s="10">
        <v>177.05702740000001</v>
      </c>
      <c r="AM8" s="24">
        <v>1</v>
      </c>
      <c r="AN8" s="10">
        <v>177.05702740000001</v>
      </c>
      <c r="AO8" s="24">
        <v>0</v>
      </c>
    </row>
    <row r="9" spans="1:41">
      <c r="A9" s="10">
        <v>3.5</v>
      </c>
      <c r="B9" s="10">
        <v>140.7448096</v>
      </c>
      <c r="C9" s="24">
        <v>1</v>
      </c>
      <c r="D9" s="10">
        <v>140.7448096</v>
      </c>
      <c r="E9" s="24">
        <v>0</v>
      </c>
      <c r="F9" s="10">
        <v>112.2860033</v>
      </c>
      <c r="G9" s="24">
        <v>1</v>
      </c>
      <c r="H9" s="10">
        <v>112.2860033</v>
      </c>
      <c r="I9" s="24">
        <v>0</v>
      </c>
      <c r="J9" s="10">
        <v>134.08920879999999</v>
      </c>
      <c r="K9" s="24">
        <v>1</v>
      </c>
      <c r="L9" s="10">
        <v>134.08920879999999</v>
      </c>
      <c r="M9" s="24">
        <v>0</v>
      </c>
      <c r="N9" s="10">
        <v>84.788541780000003</v>
      </c>
      <c r="O9" s="24">
        <v>1</v>
      </c>
      <c r="P9" s="10">
        <v>84.788541780000003</v>
      </c>
      <c r="Q9" s="24">
        <v>0</v>
      </c>
      <c r="R9" s="10">
        <v>146.43615370000001</v>
      </c>
      <c r="S9" s="24">
        <v>1</v>
      </c>
      <c r="T9" s="10">
        <v>146.43615370000001</v>
      </c>
      <c r="U9" s="24">
        <v>0</v>
      </c>
      <c r="V9" s="10">
        <v>132.5596176</v>
      </c>
      <c r="W9" s="24">
        <v>1</v>
      </c>
      <c r="X9" s="10">
        <v>132.5596176</v>
      </c>
      <c r="Y9" s="24">
        <v>0</v>
      </c>
      <c r="Z9" s="10">
        <v>128.12433709999999</v>
      </c>
      <c r="AA9" s="24">
        <v>1</v>
      </c>
      <c r="AB9" s="10">
        <v>128.12433709999999</v>
      </c>
      <c r="AC9" s="24">
        <v>0</v>
      </c>
      <c r="AD9" s="10">
        <v>134.91612570000001</v>
      </c>
      <c r="AE9" s="24">
        <v>1</v>
      </c>
      <c r="AF9" s="10">
        <v>134.91612570000001</v>
      </c>
      <c r="AG9" s="24">
        <v>0</v>
      </c>
      <c r="AH9" s="10">
        <v>92.036640509999998</v>
      </c>
      <c r="AI9" s="24">
        <v>1</v>
      </c>
      <c r="AJ9" s="10">
        <v>92.036640509999998</v>
      </c>
      <c r="AK9" s="24">
        <v>0</v>
      </c>
      <c r="AL9" s="10">
        <v>141.70401380000001</v>
      </c>
      <c r="AM9" s="24">
        <v>1</v>
      </c>
      <c r="AN9" s="10">
        <v>141.70401380000001</v>
      </c>
      <c r="AO9" s="24">
        <v>0</v>
      </c>
    </row>
    <row r="10" spans="1:41">
      <c r="A10" s="10">
        <v>4</v>
      </c>
      <c r="B10" s="10">
        <v>110.3871218</v>
      </c>
      <c r="C10" s="24">
        <v>1</v>
      </c>
      <c r="D10" s="10">
        <v>110.3871218</v>
      </c>
      <c r="E10" s="24">
        <v>0</v>
      </c>
      <c r="F10" s="10">
        <v>95.885168849999999</v>
      </c>
      <c r="G10" s="24">
        <v>1</v>
      </c>
      <c r="H10" s="10">
        <v>95.885168849999999</v>
      </c>
      <c r="I10" s="24">
        <v>0</v>
      </c>
      <c r="J10" s="10">
        <v>70.544708020000002</v>
      </c>
      <c r="K10" s="24">
        <v>1</v>
      </c>
      <c r="L10" s="10">
        <v>70.544708020000002</v>
      </c>
      <c r="M10" s="24">
        <v>0</v>
      </c>
      <c r="N10" s="10">
        <v>133.92592769999999</v>
      </c>
      <c r="O10" s="24">
        <v>1</v>
      </c>
      <c r="P10" s="10">
        <v>133.92592769999999</v>
      </c>
      <c r="Q10" s="24">
        <v>0</v>
      </c>
      <c r="R10" s="10">
        <v>94.627138430000002</v>
      </c>
      <c r="S10" s="24">
        <v>1</v>
      </c>
      <c r="T10" s="10">
        <v>94.627138430000002</v>
      </c>
      <c r="U10" s="24">
        <v>0</v>
      </c>
      <c r="V10" s="10">
        <v>127.8662176</v>
      </c>
      <c r="W10" s="24">
        <v>1</v>
      </c>
      <c r="X10" s="10">
        <v>127.8662176</v>
      </c>
      <c r="Y10" s="24">
        <v>0</v>
      </c>
      <c r="Z10" s="10">
        <v>75.073742339999995</v>
      </c>
      <c r="AA10" s="24">
        <v>1</v>
      </c>
      <c r="AB10" s="10">
        <v>75.073742339999995</v>
      </c>
      <c r="AC10" s="24">
        <v>0</v>
      </c>
      <c r="AD10" s="10">
        <v>119.20109239999999</v>
      </c>
      <c r="AE10" s="24">
        <v>1</v>
      </c>
      <c r="AF10" s="10">
        <v>119.20109239999999</v>
      </c>
      <c r="AG10" s="24">
        <v>0</v>
      </c>
      <c r="AH10" s="10">
        <v>121.1285737</v>
      </c>
      <c r="AI10" s="24">
        <v>1</v>
      </c>
      <c r="AJ10" s="10">
        <v>121.1285737</v>
      </c>
      <c r="AK10" s="24">
        <v>0</v>
      </c>
      <c r="AL10" s="10">
        <v>85.251089949999994</v>
      </c>
      <c r="AM10" s="24">
        <v>1</v>
      </c>
      <c r="AN10" s="10">
        <v>85.251089949999994</v>
      </c>
      <c r="AO10" s="24">
        <v>0</v>
      </c>
    </row>
    <row r="11" spans="1:41">
      <c r="A11" s="10">
        <v>4.5</v>
      </c>
      <c r="B11" s="10">
        <v>115.1577656</v>
      </c>
      <c r="C11" s="24">
        <v>1</v>
      </c>
      <c r="D11" s="10">
        <v>115.1577656</v>
      </c>
      <c r="E11" s="24">
        <v>0</v>
      </c>
      <c r="F11" s="10">
        <v>67.63471079</v>
      </c>
      <c r="G11" s="24">
        <v>1</v>
      </c>
      <c r="H11" s="10">
        <v>67.63471079</v>
      </c>
      <c r="I11" s="24">
        <v>0</v>
      </c>
      <c r="J11" s="10">
        <v>104.63863910000001</v>
      </c>
      <c r="K11" s="24">
        <v>1</v>
      </c>
      <c r="L11" s="10">
        <v>104.63863910000001</v>
      </c>
      <c r="M11" s="24">
        <v>0</v>
      </c>
      <c r="N11" s="10">
        <v>82.959760590000002</v>
      </c>
      <c r="O11" s="24">
        <v>1</v>
      </c>
      <c r="P11" s="10">
        <v>82.959760590000002</v>
      </c>
      <c r="Q11" s="24">
        <v>0</v>
      </c>
      <c r="R11" s="10">
        <v>97.127153860000007</v>
      </c>
      <c r="S11" s="24">
        <v>1</v>
      </c>
      <c r="T11" s="10">
        <v>97.127153860000007</v>
      </c>
      <c r="U11" s="24">
        <v>0</v>
      </c>
      <c r="V11" s="10">
        <v>117.14911429999999</v>
      </c>
      <c r="W11" s="24">
        <v>1</v>
      </c>
      <c r="X11" s="10">
        <v>117.14911429999999</v>
      </c>
      <c r="Y11" s="24">
        <v>0</v>
      </c>
      <c r="Z11" s="10">
        <v>69.880666649999995</v>
      </c>
      <c r="AA11" s="24">
        <v>1</v>
      </c>
      <c r="AB11" s="10">
        <v>69.880666649999995</v>
      </c>
      <c r="AC11" s="24">
        <v>0</v>
      </c>
      <c r="AD11" s="10">
        <v>72.817409850000004</v>
      </c>
      <c r="AE11" s="24">
        <v>1</v>
      </c>
      <c r="AF11" s="10">
        <v>72.817409850000004</v>
      </c>
      <c r="AG11" s="24">
        <v>0</v>
      </c>
      <c r="AH11" s="10">
        <v>101.1198761</v>
      </c>
      <c r="AI11" s="24">
        <v>1</v>
      </c>
      <c r="AJ11" s="10">
        <v>101.1198761</v>
      </c>
      <c r="AK11" s="24">
        <v>0</v>
      </c>
      <c r="AL11" s="10">
        <v>86.478818959999998</v>
      </c>
      <c r="AM11" s="24">
        <v>1</v>
      </c>
      <c r="AN11" s="10">
        <v>86.478818959999998</v>
      </c>
      <c r="AO11" s="24">
        <v>0</v>
      </c>
    </row>
    <row r="12" spans="1:41">
      <c r="A12" s="10">
        <v>5</v>
      </c>
      <c r="B12" s="10">
        <v>36.86861854</v>
      </c>
      <c r="C12" s="24">
        <v>1</v>
      </c>
      <c r="D12" s="10">
        <v>36.86861854</v>
      </c>
      <c r="E12" s="24">
        <v>0</v>
      </c>
      <c r="F12" s="10">
        <v>28.837476980000002</v>
      </c>
      <c r="G12" s="24">
        <v>1</v>
      </c>
      <c r="H12" s="10">
        <v>28.837476980000002</v>
      </c>
      <c r="I12" s="24">
        <v>0</v>
      </c>
      <c r="J12" s="10">
        <v>27.497687299999999</v>
      </c>
      <c r="K12" s="24">
        <v>1</v>
      </c>
      <c r="L12" s="10">
        <v>27.497687299999999</v>
      </c>
      <c r="M12" s="24">
        <v>0</v>
      </c>
      <c r="N12" s="10">
        <v>22.09821814</v>
      </c>
      <c r="O12" s="24">
        <v>1</v>
      </c>
      <c r="P12" s="10">
        <v>22.09821814</v>
      </c>
      <c r="Q12" s="24">
        <v>0</v>
      </c>
      <c r="R12" s="10">
        <v>36.862816690000002</v>
      </c>
      <c r="S12" s="24">
        <v>1</v>
      </c>
      <c r="T12" s="10">
        <v>36.862816690000002</v>
      </c>
      <c r="U12" s="24">
        <v>0</v>
      </c>
      <c r="V12" s="10">
        <v>27.114319330000001</v>
      </c>
      <c r="W12" s="24">
        <v>1</v>
      </c>
      <c r="X12" s="10">
        <v>27.114319330000001</v>
      </c>
      <c r="Y12" s="24">
        <v>0</v>
      </c>
      <c r="Z12" s="10">
        <v>38.233669749999997</v>
      </c>
      <c r="AA12" s="24">
        <v>1</v>
      </c>
      <c r="AB12" s="10">
        <v>38.233669749999997</v>
      </c>
      <c r="AC12" s="24">
        <v>0</v>
      </c>
      <c r="AD12" s="10">
        <v>35.605481019999999</v>
      </c>
      <c r="AE12" s="24">
        <v>1</v>
      </c>
      <c r="AF12" s="10">
        <v>35.605481019999999</v>
      </c>
      <c r="AG12" s="24">
        <v>0</v>
      </c>
      <c r="AH12" s="10">
        <v>39.848205049999997</v>
      </c>
      <c r="AI12" s="24">
        <v>1</v>
      </c>
      <c r="AJ12" s="10">
        <v>39.848205049999997</v>
      </c>
      <c r="AK12" s="24">
        <v>0</v>
      </c>
      <c r="AL12" s="10">
        <v>27.62550946</v>
      </c>
      <c r="AM12" s="24">
        <v>1</v>
      </c>
      <c r="AN12" s="10">
        <v>27.62550946</v>
      </c>
      <c r="AO12" s="24">
        <v>0</v>
      </c>
    </row>
    <row r="13" spans="1:41">
      <c r="A13" s="10">
        <v>5.5</v>
      </c>
      <c r="B13" s="10">
        <v>22.426306440000001</v>
      </c>
      <c r="C13" s="24">
        <v>1</v>
      </c>
      <c r="D13" s="10">
        <v>22.426306440000001</v>
      </c>
      <c r="E13" s="24">
        <v>0</v>
      </c>
      <c r="F13" s="10">
        <v>20.058743360000001</v>
      </c>
      <c r="G13" s="24">
        <v>1</v>
      </c>
      <c r="H13" s="10">
        <v>20.058743360000001</v>
      </c>
      <c r="I13" s="24">
        <v>0</v>
      </c>
      <c r="J13" s="10">
        <v>38.914116180000001</v>
      </c>
      <c r="K13" s="24">
        <v>1</v>
      </c>
      <c r="L13" s="10">
        <v>38.914116180000001</v>
      </c>
      <c r="M13" s="24">
        <v>0</v>
      </c>
      <c r="N13" s="10">
        <v>31.596102999999999</v>
      </c>
      <c r="O13" s="24">
        <v>1</v>
      </c>
      <c r="P13" s="10">
        <v>31.596102999999999</v>
      </c>
      <c r="Q13" s="24">
        <v>0</v>
      </c>
      <c r="R13" s="10">
        <v>35.449931360000001</v>
      </c>
      <c r="S13" s="24">
        <v>1</v>
      </c>
      <c r="T13" s="10">
        <v>35.449931360000001</v>
      </c>
      <c r="U13" s="24">
        <v>0</v>
      </c>
      <c r="V13" s="10">
        <v>36.23679096</v>
      </c>
      <c r="W13" s="24">
        <v>1</v>
      </c>
      <c r="X13" s="10">
        <v>36.23679096</v>
      </c>
      <c r="Y13" s="24">
        <v>0</v>
      </c>
      <c r="Z13" s="10">
        <v>30.193757909999999</v>
      </c>
      <c r="AA13" s="24">
        <v>1</v>
      </c>
      <c r="AB13" s="10">
        <v>30.193757909999999</v>
      </c>
      <c r="AC13" s="24">
        <v>0</v>
      </c>
      <c r="AD13" s="10">
        <v>36.546956219999998</v>
      </c>
      <c r="AE13" s="24">
        <v>1</v>
      </c>
      <c r="AF13" s="10">
        <v>36.546956219999998</v>
      </c>
      <c r="AG13" s="24">
        <v>0</v>
      </c>
      <c r="AH13" s="10">
        <v>37.084040909999999</v>
      </c>
      <c r="AI13" s="24">
        <v>1</v>
      </c>
      <c r="AJ13" s="10">
        <v>37.084040909999999</v>
      </c>
      <c r="AK13" s="24">
        <v>0</v>
      </c>
      <c r="AL13" s="10">
        <v>32.495296949999997</v>
      </c>
      <c r="AM13" s="24">
        <v>1</v>
      </c>
      <c r="AN13" s="10">
        <v>32.495296949999997</v>
      </c>
      <c r="AO13" s="24">
        <v>0</v>
      </c>
    </row>
    <row r="14" spans="1:41">
      <c r="A14" s="10">
        <v>6</v>
      </c>
      <c r="B14" s="10">
        <v>99.291392740000006</v>
      </c>
      <c r="C14" s="24">
        <v>1</v>
      </c>
      <c r="D14" s="10">
        <v>99.291392740000006</v>
      </c>
      <c r="E14" s="24">
        <v>0</v>
      </c>
      <c r="F14" s="10">
        <v>92.674196069999994</v>
      </c>
      <c r="G14" s="24">
        <v>1</v>
      </c>
      <c r="H14" s="10">
        <v>92.674196069999994</v>
      </c>
      <c r="I14" s="24">
        <v>0</v>
      </c>
      <c r="J14" s="10">
        <v>99.357485650000001</v>
      </c>
      <c r="K14" s="24">
        <v>1</v>
      </c>
      <c r="L14" s="10">
        <v>99.357485650000001</v>
      </c>
      <c r="M14" s="24">
        <v>0</v>
      </c>
      <c r="N14" s="10">
        <v>86.097518820000005</v>
      </c>
      <c r="O14" s="24">
        <v>1</v>
      </c>
      <c r="P14" s="10">
        <v>86.097518820000005</v>
      </c>
      <c r="Q14" s="24">
        <v>0</v>
      </c>
      <c r="R14" s="10">
        <v>50.568080180000003</v>
      </c>
      <c r="S14" s="24">
        <v>1</v>
      </c>
      <c r="T14" s="10">
        <v>50.568080180000003</v>
      </c>
      <c r="U14" s="24">
        <v>0</v>
      </c>
      <c r="V14" s="10">
        <v>51.539861039999998</v>
      </c>
      <c r="W14" s="24">
        <v>1</v>
      </c>
      <c r="X14" s="10">
        <v>51.539861039999998</v>
      </c>
      <c r="Y14" s="24">
        <v>0</v>
      </c>
      <c r="Z14" s="10">
        <v>82.393377340000001</v>
      </c>
      <c r="AA14" s="24">
        <v>1</v>
      </c>
      <c r="AB14" s="10">
        <v>82.393377340000001</v>
      </c>
      <c r="AC14" s="24">
        <v>0</v>
      </c>
      <c r="AD14" s="10">
        <v>75.615042470000006</v>
      </c>
      <c r="AE14" s="24">
        <v>1</v>
      </c>
      <c r="AF14" s="10">
        <v>75.615042470000006</v>
      </c>
      <c r="AG14" s="24">
        <v>0</v>
      </c>
      <c r="AH14" s="10">
        <v>77.687880160000006</v>
      </c>
      <c r="AI14" s="24">
        <v>1</v>
      </c>
      <c r="AJ14" s="10">
        <v>77.687880160000006</v>
      </c>
      <c r="AK14" s="24">
        <v>0</v>
      </c>
      <c r="AL14" s="10">
        <v>80.569682569999998</v>
      </c>
      <c r="AM14" s="24">
        <v>1</v>
      </c>
      <c r="AN14" s="10">
        <v>80.569682569999998</v>
      </c>
      <c r="AO14" s="24">
        <v>0</v>
      </c>
    </row>
    <row r="15" spans="1:41">
      <c r="A15" s="10">
        <v>6.5</v>
      </c>
      <c r="B15" s="10">
        <v>41.747224330000002</v>
      </c>
      <c r="C15" s="24">
        <v>1</v>
      </c>
      <c r="D15" s="10">
        <v>41.747224330000002</v>
      </c>
      <c r="E15" s="24">
        <v>0</v>
      </c>
      <c r="F15" s="10">
        <v>55.494396620000003</v>
      </c>
      <c r="G15" s="24">
        <v>1</v>
      </c>
      <c r="H15" s="10">
        <v>55.494396620000003</v>
      </c>
      <c r="I15" s="24">
        <v>0</v>
      </c>
      <c r="J15" s="10">
        <v>38.453664809999999</v>
      </c>
      <c r="K15" s="24">
        <v>1</v>
      </c>
      <c r="L15" s="10">
        <v>38.453664809999999</v>
      </c>
      <c r="M15" s="24">
        <v>0</v>
      </c>
      <c r="N15" s="10">
        <v>45.738916439999997</v>
      </c>
      <c r="O15" s="24">
        <v>1</v>
      </c>
      <c r="P15" s="10">
        <v>45.738916439999997</v>
      </c>
      <c r="Q15" s="24">
        <v>0</v>
      </c>
      <c r="R15" s="10">
        <v>30.5828013</v>
      </c>
      <c r="S15" s="24">
        <v>1</v>
      </c>
      <c r="T15" s="10">
        <v>30.5828013</v>
      </c>
      <c r="U15" s="24">
        <v>0</v>
      </c>
      <c r="V15" s="10">
        <v>41.865459680000001</v>
      </c>
      <c r="W15" s="24">
        <v>1</v>
      </c>
      <c r="X15" s="10">
        <v>41.865459680000001</v>
      </c>
      <c r="Y15" s="24">
        <v>0</v>
      </c>
      <c r="Z15" s="10">
        <v>37.738257750000002</v>
      </c>
      <c r="AA15" s="24">
        <v>1</v>
      </c>
      <c r="AB15" s="10">
        <v>37.738257750000002</v>
      </c>
      <c r="AC15" s="24">
        <v>0</v>
      </c>
      <c r="AD15" s="10">
        <v>45.03660936</v>
      </c>
      <c r="AE15" s="24">
        <v>1</v>
      </c>
      <c r="AF15" s="10">
        <v>45.03660936</v>
      </c>
      <c r="AG15" s="24">
        <v>0</v>
      </c>
      <c r="AH15" s="10">
        <v>53.387836450000002</v>
      </c>
      <c r="AI15" s="24">
        <v>1</v>
      </c>
      <c r="AJ15" s="10">
        <v>53.387836450000002</v>
      </c>
      <c r="AK15" s="24">
        <v>0</v>
      </c>
      <c r="AL15" s="10">
        <v>45.822182859999998</v>
      </c>
      <c r="AM15" s="24">
        <v>1</v>
      </c>
      <c r="AN15" s="10">
        <v>45.822182859999998</v>
      </c>
      <c r="AO15" s="24">
        <v>0</v>
      </c>
    </row>
    <row r="16" spans="1:41">
      <c r="A16" s="10">
        <v>7</v>
      </c>
      <c r="B16" s="10">
        <v>123.719441</v>
      </c>
      <c r="C16" s="24">
        <v>1</v>
      </c>
      <c r="D16" s="10">
        <v>123.719441</v>
      </c>
      <c r="E16" s="24">
        <v>0</v>
      </c>
      <c r="F16" s="10">
        <v>106.03072830000001</v>
      </c>
      <c r="G16" s="24">
        <v>1</v>
      </c>
      <c r="H16" s="10">
        <v>106.03072830000001</v>
      </c>
      <c r="I16" s="24">
        <v>0</v>
      </c>
      <c r="J16" s="10">
        <v>139.6488774</v>
      </c>
      <c r="K16" s="24">
        <v>1</v>
      </c>
      <c r="L16" s="10">
        <v>139.6488774</v>
      </c>
      <c r="M16" s="24">
        <v>0</v>
      </c>
      <c r="N16" s="10">
        <v>134.48830319999999</v>
      </c>
      <c r="O16" s="24">
        <v>1</v>
      </c>
      <c r="P16" s="10">
        <v>134.48830319999999</v>
      </c>
      <c r="Q16" s="24">
        <v>0</v>
      </c>
      <c r="R16" s="10">
        <v>188.2292076</v>
      </c>
      <c r="S16" s="24">
        <v>1</v>
      </c>
      <c r="T16" s="10">
        <v>188.2292076</v>
      </c>
      <c r="U16" s="24">
        <v>0</v>
      </c>
      <c r="V16" s="10">
        <v>190.11456140000001</v>
      </c>
      <c r="W16" s="24">
        <v>1</v>
      </c>
      <c r="X16" s="10">
        <v>190.11456140000001</v>
      </c>
      <c r="Y16" s="24">
        <v>0</v>
      </c>
      <c r="Z16" s="10">
        <v>134.5733376</v>
      </c>
      <c r="AA16" s="24">
        <v>1</v>
      </c>
      <c r="AB16" s="10">
        <v>134.5733376</v>
      </c>
      <c r="AC16" s="24">
        <v>0</v>
      </c>
      <c r="AD16" s="10">
        <v>115.9302734</v>
      </c>
      <c r="AE16" s="24">
        <v>1</v>
      </c>
      <c r="AF16" s="10">
        <v>115.9302734</v>
      </c>
      <c r="AG16" s="24">
        <v>0</v>
      </c>
      <c r="AH16" s="10">
        <v>105.12026210000001</v>
      </c>
      <c r="AI16" s="24">
        <v>1</v>
      </c>
      <c r="AJ16" s="10">
        <v>105.12026210000001</v>
      </c>
      <c r="AK16" s="24">
        <v>0</v>
      </c>
      <c r="AL16" s="10">
        <v>106.2206518</v>
      </c>
      <c r="AM16" s="24">
        <v>1</v>
      </c>
      <c r="AN16" s="10">
        <v>106.2206518</v>
      </c>
      <c r="AO16" s="24">
        <v>0</v>
      </c>
    </row>
    <row r="17" spans="1:41">
      <c r="A17" s="10">
        <v>7.5</v>
      </c>
      <c r="B17" s="10">
        <v>155.97281430000001</v>
      </c>
      <c r="C17" s="24">
        <v>1</v>
      </c>
      <c r="D17" s="10">
        <v>155.97281430000001</v>
      </c>
      <c r="E17" s="24">
        <v>0</v>
      </c>
      <c r="F17" s="10">
        <v>198.5775185</v>
      </c>
      <c r="G17" s="24">
        <v>1</v>
      </c>
      <c r="H17" s="10">
        <v>198.5775185</v>
      </c>
      <c r="I17" s="24">
        <v>0</v>
      </c>
      <c r="J17" s="10">
        <v>192.2480722</v>
      </c>
      <c r="K17" s="24">
        <v>1</v>
      </c>
      <c r="L17" s="10">
        <v>192.2480722</v>
      </c>
      <c r="M17" s="24">
        <v>0</v>
      </c>
      <c r="N17" s="10">
        <v>147.84822679999999</v>
      </c>
      <c r="O17" s="24">
        <v>1</v>
      </c>
      <c r="P17" s="10">
        <v>147.84822679999999</v>
      </c>
      <c r="Q17" s="24">
        <v>0</v>
      </c>
      <c r="R17" s="10">
        <v>229.77465319999999</v>
      </c>
      <c r="S17" s="24">
        <v>1</v>
      </c>
      <c r="T17" s="10">
        <v>229.77465319999999</v>
      </c>
      <c r="U17" s="24">
        <v>0</v>
      </c>
      <c r="V17" s="10">
        <v>147.77366309999999</v>
      </c>
      <c r="W17" s="24">
        <v>1</v>
      </c>
      <c r="X17" s="10">
        <v>147.77366309999999</v>
      </c>
      <c r="Y17" s="24">
        <v>0</v>
      </c>
      <c r="Z17" s="10">
        <v>203.3481773</v>
      </c>
      <c r="AA17" s="24">
        <v>1</v>
      </c>
      <c r="AB17" s="10">
        <v>203.3481773</v>
      </c>
      <c r="AC17" s="24">
        <v>0</v>
      </c>
      <c r="AD17" s="10">
        <v>150.58520799999999</v>
      </c>
      <c r="AE17" s="24">
        <v>1</v>
      </c>
      <c r="AF17" s="10">
        <v>150.58520799999999</v>
      </c>
      <c r="AG17" s="24">
        <v>0</v>
      </c>
      <c r="AH17" s="10">
        <v>151.0705911</v>
      </c>
      <c r="AI17" s="24">
        <v>1</v>
      </c>
      <c r="AJ17" s="10">
        <v>151.0705911</v>
      </c>
      <c r="AK17" s="24">
        <v>0</v>
      </c>
      <c r="AL17" s="10">
        <v>136.41235589999999</v>
      </c>
      <c r="AM17" s="24">
        <v>1</v>
      </c>
      <c r="AN17" s="10">
        <v>136.41235589999999</v>
      </c>
      <c r="AO17" s="24">
        <v>0</v>
      </c>
    </row>
    <row r="18" spans="1:41">
      <c r="A18" s="10">
        <v>8</v>
      </c>
      <c r="B18" s="10">
        <v>176.98553459999999</v>
      </c>
      <c r="C18" s="24">
        <v>1</v>
      </c>
      <c r="D18" s="10">
        <v>176.98553459999999</v>
      </c>
      <c r="E18" s="24">
        <v>0</v>
      </c>
      <c r="F18" s="10">
        <v>194.5066137</v>
      </c>
      <c r="G18" s="24">
        <v>1</v>
      </c>
      <c r="H18" s="10">
        <v>194.5066137</v>
      </c>
      <c r="I18" s="24">
        <v>0</v>
      </c>
      <c r="J18" s="10">
        <v>150.7997575</v>
      </c>
      <c r="K18" s="24">
        <v>1</v>
      </c>
      <c r="L18" s="10">
        <v>150.7997575</v>
      </c>
      <c r="M18" s="24">
        <v>0</v>
      </c>
      <c r="N18" s="10">
        <v>163.00403539999999</v>
      </c>
      <c r="O18" s="24">
        <v>1</v>
      </c>
      <c r="P18" s="10">
        <v>163.00403539999999</v>
      </c>
      <c r="Q18" s="24">
        <v>0</v>
      </c>
      <c r="R18" s="10">
        <v>138.02046300000001</v>
      </c>
      <c r="S18" s="24">
        <v>1</v>
      </c>
      <c r="T18" s="10">
        <v>138.02046300000001</v>
      </c>
      <c r="U18" s="24">
        <v>0</v>
      </c>
      <c r="V18" s="10">
        <v>177.18205459999999</v>
      </c>
      <c r="W18" s="24">
        <v>1</v>
      </c>
      <c r="X18" s="10">
        <v>177.18205459999999</v>
      </c>
      <c r="Y18" s="24">
        <v>0</v>
      </c>
      <c r="Z18" s="10">
        <v>172.7390824</v>
      </c>
      <c r="AA18" s="24">
        <v>1</v>
      </c>
      <c r="AB18" s="10">
        <v>172.7390824</v>
      </c>
      <c r="AC18" s="24">
        <v>0</v>
      </c>
      <c r="AD18" s="10">
        <v>245.84812909999999</v>
      </c>
      <c r="AE18" s="24">
        <v>1</v>
      </c>
      <c r="AF18" s="10">
        <v>245.84812909999999</v>
      </c>
      <c r="AG18" s="24">
        <v>0</v>
      </c>
      <c r="AH18" s="10">
        <v>170.00798130000001</v>
      </c>
      <c r="AI18" s="24">
        <v>1</v>
      </c>
      <c r="AJ18" s="10">
        <v>170.00798130000001</v>
      </c>
      <c r="AK18" s="24">
        <v>0</v>
      </c>
      <c r="AL18" s="10">
        <v>164.92961560000001</v>
      </c>
      <c r="AM18" s="24">
        <v>1</v>
      </c>
      <c r="AN18" s="10">
        <v>164.92961560000001</v>
      </c>
      <c r="AO18" s="24">
        <v>0</v>
      </c>
    </row>
    <row r="19" spans="1:41">
      <c r="A19" s="10">
        <v>8.5</v>
      </c>
      <c r="B19" s="10">
        <v>226.1909181</v>
      </c>
      <c r="C19" s="24">
        <v>1</v>
      </c>
      <c r="D19" s="10">
        <v>226.1909181</v>
      </c>
      <c r="E19" s="24">
        <v>0</v>
      </c>
      <c r="F19" s="10">
        <v>167.82751519999999</v>
      </c>
      <c r="G19" s="24">
        <v>1</v>
      </c>
      <c r="H19" s="10">
        <v>167.82751519999999</v>
      </c>
      <c r="I19" s="24">
        <v>0</v>
      </c>
      <c r="J19" s="10">
        <v>249.5114074</v>
      </c>
      <c r="K19" s="24">
        <v>1</v>
      </c>
      <c r="L19" s="10">
        <v>249.5114074</v>
      </c>
      <c r="M19" s="24">
        <v>0</v>
      </c>
      <c r="N19" s="10">
        <v>193.60266780000001</v>
      </c>
      <c r="O19" s="24">
        <v>1</v>
      </c>
      <c r="P19" s="10">
        <v>193.60266780000001</v>
      </c>
      <c r="Q19" s="24">
        <v>0</v>
      </c>
      <c r="R19" s="10">
        <v>216.26012009999999</v>
      </c>
      <c r="S19" s="24">
        <v>1</v>
      </c>
      <c r="T19" s="10">
        <v>216.26012009999999</v>
      </c>
      <c r="U19" s="24">
        <v>0</v>
      </c>
      <c r="V19" s="10">
        <v>270.30425000000002</v>
      </c>
      <c r="W19" s="24">
        <v>1</v>
      </c>
      <c r="X19" s="10">
        <v>270.30425000000002</v>
      </c>
      <c r="Y19" s="24">
        <v>0</v>
      </c>
      <c r="Z19" s="10">
        <v>187.63128990000001</v>
      </c>
      <c r="AA19" s="24">
        <v>1</v>
      </c>
      <c r="AB19" s="10">
        <v>187.63128990000001</v>
      </c>
      <c r="AC19" s="24">
        <v>0</v>
      </c>
      <c r="AD19" s="10">
        <v>168.8098281</v>
      </c>
      <c r="AE19" s="24">
        <v>1</v>
      </c>
      <c r="AF19" s="10">
        <v>168.8098281</v>
      </c>
      <c r="AG19" s="24">
        <v>0</v>
      </c>
      <c r="AH19" s="10">
        <v>213.61044079999999</v>
      </c>
      <c r="AI19" s="24">
        <v>1</v>
      </c>
      <c r="AJ19" s="10">
        <v>213.61044079999999</v>
      </c>
      <c r="AK19" s="24">
        <v>0</v>
      </c>
      <c r="AL19" s="10">
        <v>160.75769750000001</v>
      </c>
      <c r="AM19" s="24">
        <v>1</v>
      </c>
      <c r="AN19" s="10">
        <v>160.75769750000001</v>
      </c>
      <c r="AO19" s="24">
        <v>0</v>
      </c>
    </row>
    <row r="20" spans="1:41">
      <c r="A20" s="10">
        <v>9</v>
      </c>
      <c r="B20" s="10">
        <v>158.55298730000001</v>
      </c>
      <c r="C20" s="24">
        <v>0</v>
      </c>
      <c r="D20" s="24">
        <v>0</v>
      </c>
      <c r="E20" s="10">
        <v>158.55298730000001</v>
      </c>
      <c r="F20" s="10">
        <v>169.19470079999999</v>
      </c>
      <c r="G20" s="24">
        <v>0</v>
      </c>
      <c r="H20" s="24">
        <v>0</v>
      </c>
      <c r="I20" s="10">
        <v>169.19470079999999</v>
      </c>
      <c r="J20" s="10">
        <v>231.10504660000001</v>
      </c>
      <c r="K20" s="24">
        <v>0</v>
      </c>
      <c r="L20" s="24">
        <v>0</v>
      </c>
      <c r="M20" s="10">
        <v>231.10504660000001</v>
      </c>
      <c r="N20" s="10">
        <v>205.43975979999999</v>
      </c>
      <c r="O20" s="24">
        <v>0</v>
      </c>
      <c r="P20" s="24">
        <v>0</v>
      </c>
      <c r="Q20" s="10">
        <v>205.43975979999999</v>
      </c>
      <c r="R20" s="10">
        <v>280.87504289999998</v>
      </c>
      <c r="S20" s="24">
        <v>0</v>
      </c>
      <c r="T20" s="24">
        <v>0</v>
      </c>
      <c r="U20" s="10">
        <v>280.87504289999998</v>
      </c>
      <c r="V20" s="10">
        <v>227.07363720000001</v>
      </c>
      <c r="W20" s="24">
        <v>0</v>
      </c>
      <c r="X20" s="24">
        <v>0</v>
      </c>
      <c r="Y20" s="10">
        <v>227.07363720000001</v>
      </c>
      <c r="Z20" s="10">
        <v>283.5707185</v>
      </c>
      <c r="AA20" s="24">
        <v>0</v>
      </c>
      <c r="AB20" s="24">
        <v>0</v>
      </c>
      <c r="AC20" s="10">
        <v>283.5707185</v>
      </c>
      <c r="AD20" s="10">
        <v>211.3829503</v>
      </c>
      <c r="AE20" s="24">
        <v>0</v>
      </c>
      <c r="AF20" s="24">
        <v>0</v>
      </c>
      <c r="AG20" s="10">
        <v>211.3829503</v>
      </c>
      <c r="AH20" s="10">
        <v>268.8643596</v>
      </c>
      <c r="AI20" s="24">
        <v>0</v>
      </c>
      <c r="AJ20" s="24">
        <v>0</v>
      </c>
      <c r="AK20" s="10">
        <v>268.8643596</v>
      </c>
      <c r="AL20" s="10">
        <v>212.71328370000001</v>
      </c>
      <c r="AM20" s="24">
        <v>0</v>
      </c>
      <c r="AN20" s="24">
        <v>0</v>
      </c>
      <c r="AO20" s="10">
        <v>212.71328370000001</v>
      </c>
    </row>
    <row r="21" spans="1:41">
      <c r="A21" s="10">
        <v>9.5</v>
      </c>
      <c r="B21" s="10">
        <v>312.42828780000002</v>
      </c>
      <c r="C21" s="24">
        <v>0</v>
      </c>
      <c r="D21" s="24">
        <v>0</v>
      </c>
      <c r="E21" s="10">
        <v>312.42828780000002</v>
      </c>
      <c r="F21" s="10">
        <v>317.43351569999999</v>
      </c>
      <c r="G21" s="24">
        <v>0</v>
      </c>
      <c r="H21" s="24">
        <v>0</v>
      </c>
      <c r="I21" s="10">
        <v>317.43351569999999</v>
      </c>
      <c r="J21" s="10">
        <v>243.5961891</v>
      </c>
      <c r="K21" s="24">
        <v>0</v>
      </c>
      <c r="L21" s="24">
        <v>0</v>
      </c>
      <c r="M21" s="10">
        <v>243.5961891</v>
      </c>
      <c r="N21" s="10">
        <v>307.07498020000003</v>
      </c>
      <c r="O21" s="24">
        <v>0</v>
      </c>
      <c r="P21" s="24">
        <v>0</v>
      </c>
      <c r="Q21" s="10">
        <v>307.07498020000003</v>
      </c>
      <c r="R21" s="10">
        <v>286.68903519999998</v>
      </c>
      <c r="S21" s="24">
        <v>0</v>
      </c>
      <c r="T21" s="24">
        <v>0</v>
      </c>
      <c r="U21" s="10">
        <v>286.68903519999998</v>
      </c>
      <c r="V21" s="10">
        <v>163.9022736</v>
      </c>
      <c r="W21" s="24">
        <v>0</v>
      </c>
      <c r="X21" s="24">
        <v>0</v>
      </c>
      <c r="Y21" s="10">
        <v>163.9022736</v>
      </c>
      <c r="Z21" s="10">
        <v>317.59106750000001</v>
      </c>
      <c r="AA21" s="24">
        <v>0</v>
      </c>
      <c r="AB21" s="24">
        <v>0</v>
      </c>
      <c r="AC21" s="10">
        <v>317.59106750000001</v>
      </c>
      <c r="AD21" s="10">
        <v>173.9579348</v>
      </c>
      <c r="AE21" s="24">
        <v>0</v>
      </c>
      <c r="AF21" s="24">
        <v>0</v>
      </c>
      <c r="AG21" s="10">
        <v>173.9579348</v>
      </c>
      <c r="AH21" s="10">
        <v>288.66593690000002</v>
      </c>
      <c r="AI21" s="24">
        <v>0</v>
      </c>
      <c r="AJ21" s="24">
        <v>0</v>
      </c>
      <c r="AK21" s="10">
        <v>288.66593690000002</v>
      </c>
      <c r="AL21" s="10">
        <v>226.83403659999999</v>
      </c>
      <c r="AM21" s="24">
        <v>0</v>
      </c>
      <c r="AN21" s="24">
        <v>0</v>
      </c>
      <c r="AO21" s="10">
        <v>226.83403659999999</v>
      </c>
    </row>
    <row r="22" spans="1:41">
      <c r="A22" s="10">
        <v>10</v>
      </c>
      <c r="B22" s="10">
        <v>239.77035179999999</v>
      </c>
      <c r="C22" s="24">
        <v>1</v>
      </c>
      <c r="D22" s="10">
        <v>239.77035179999999</v>
      </c>
      <c r="E22" s="24">
        <v>0</v>
      </c>
      <c r="F22" s="10">
        <v>156.32238359999999</v>
      </c>
      <c r="G22" s="24">
        <v>1</v>
      </c>
      <c r="H22" s="10">
        <v>156.32238359999999</v>
      </c>
      <c r="I22" s="24">
        <v>0</v>
      </c>
      <c r="J22" s="10">
        <v>250.11088169999999</v>
      </c>
      <c r="K22" s="24">
        <v>1</v>
      </c>
      <c r="L22" s="10">
        <v>250.11088169999999</v>
      </c>
      <c r="M22" s="24">
        <v>0</v>
      </c>
      <c r="N22" s="10">
        <v>193.14202929999999</v>
      </c>
      <c r="O22" s="24">
        <v>1</v>
      </c>
      <c r="P22" s="10">
        <v>193.14202929999999</v>
      </c>
      <c r="Q22" s="24">
        <v>0</v>
      </c>
      <c r="R22" s="10">
        <v>210.7163334</v>
      </c>
      <c r="S22" s="24">
        <v>1</v>
      </c>
      <c r="T22" s="10">
        <v>210.7163334</v>
      </c>
      <c r="U22" s="24">
        <v>0</v>
      </c>
      <c r="V22" s="10">
        <v>181.77176729999999</v>
      </c>
      <c r="W22" s="24">
        <v>1</v>
      </c>
      <c r="X22" s="10">
        <v>181.77176729999999</v>
      </c>
      <c r="Y22" s="24">
        <v>0</v>
      </c>
      <c r="Z22" s="10">
        <v>187.07914679999999</v>
      </c>
      <c r="AA22" s="24">
        <v>1</v>
      </c>
      <c r="AB22" s="10">
        <v>187.07914679999999</v>
      </c>
      <c r="AC22" s="24">
        <v>0</v>
      </c>
      <c r="AD22" s="10">
        <v>227.75756459999999</v>
      </c>
      <c r="AE22" s="24">
        <v>1</v>
      </c>
      <c r="AF22" s="10">
        <v>227.75756459999999</v>
      </c>
      <c r="AG22" s="24">
        <v>0</v>
      </c>
      <c r="AH22" s="10">
        <v>253.5980222</v>
      </c>
      <c r="AI22" s="24">
        <v>1</v>
      </c>
      <c r="AJ22" s="10">
        <v>253.5980222</v>
      </c>
      <c r="AK22" s="24">
        <v>0</v>
      </c>
      <c r="AL22" s="10">
        <v>193.62511670000001</v>
      </c>
      <c r="AM22" s="24">
        <v>1</v>
      </c>
      <c r="AN22" s="10">
        <v>193.62511670000001</v>
      </c>
      <c r="AO22" s="24">
        <v>0</v>
      </c>
    </row>
    <row r="23" spans="1:41">
      <c r="A23" s="10">
        <v>10.5</v>
      </c>
      <c r="B23" s="10">
        <v>370.49164660000002</v>
      </c>
      <c r="C23" s="24">
        <v>0</v>
      </c>
      <c r="D23" s="24">
        <v>0</v>
      </c>
      <c r="E23" s="10">
        <v>370.49164660000002</v>
      </c>
      <c r="F23" s="10">
        <v>306.26061970000001</v>
      </c>
      <c r="G23" s="24">
        <v>0</v>
      </c>
      <c r="H23" s="24">
        <v>0</v>
      </c>
      <c r="I23" s="10">
        <v>306.26061970000001</v>
      </c>
      <c r="J23" s="10">
        <v>487.9826923</v>
      </c>
      <c r="K23" s="24">
        <v>0</v>
      </c>
      <c r="L23" s="24">
        <v>0</v>
      </c>
      <c r="M23" s="10">
        <v>487.9826923</v>
      </c>
      <c r="N23" s="10">
        <v>591.19451509999999</v>
      </c>
      <c r="O23" s="24">
        <v>0</v>
      </c>
      <c r="P23" s="10">
        <v>591.19451509999999</v>
      </c>
      <c r="Q23" s="24">
        <v>0</v>
      </c>
      <c r="R23" s="10">
        <v>501.06330750000001</v>
      </c>
      <c r="S23" s="24">
        <v>0</v>
      </c>
      <c r="T23" s="24">
        <v>0</v>
      </c>
      <c r="U23" s="10">
        <v>501.06330750000001</v>
      </c>
      <c r="V23" s="10">
        <v>549.43763630000001</v>
      </c>
      <c r="W23" s="24">
        <v>0</v>
      </c>
      <c r="X23" s="24">
        <v>0</v>
      </c>
      <c r="Y23" s="10">
        <v>549.43763630000001</v>
      </c>
      <c r="Z23" s="10">
        <v>337.50328960000002</v>
      </c>
      <c r="AA23" s="24">
        <v>0</v>
      </c>
      <c r="AB23" s="24">
        <v>0</v>
      </c>
      <c r="AC23" s="10">
        <v>337.50328960000002</v>
      </c>
      <c r="AD23" s="10">
        <v>375.09260829999999</v>
      </c>
      <c r="AE23" s="24">
        <v>0</v>
      </c>
      <c r="AF23" s="24">
        <v>0</v>
      </c>
      <c r="AG23" s="10">
        <v>375.09260829999999</v>
      </c>
      <c r="AH23" s="10">
        <v>300.28219990000002</v>
      </c>
      <c r="AI23" s="24">
        <v>0</v>
      </c>
      <c r="AJ23" s="24">
        <v>0</v>
      </c>
      <c r="AK23" s="10">
        <v>300.28219990000002</v>
      </c>
      <c r="AL23" s="10">
        <v>346.67618160000001</v>
      </c>
      <c r="AM23" s="24">
        <v>0</v>
      </c>
      <c r="AN23" s="24">
        <v>0</v>
      </c>
      <c r="AO23" s="10">
        <v>346.67618160000001</v>
      </c>
    </row>
    <row r="24" spans="1:41">
      <c r="A24" s="10">
        <v>11</v>
      </c>
      <c r="B24" s="10">
        <v>484.18284699999998</v>
      </c>
      <c r="C24" s="24">
        <v>0</v>
      </c>
      <c r="D24" s="24">
        <v>0</v>
      </c>
      <c r="E24" s="10">
        <v>484.18284699999998</v>
      </c>
      <c r="F24" s="10">
        <v>559.06057769999995</v>
      </c>
      <c r="G24" s="24">
        <v>0</v>
      </c>
      <c r="H24" s="24">
        <v>0</v>
      </c>
      <c r="I24" s="10">
        <v>559.06057769999995</v>
      </c>
      <c r="J24" s="10">
        <v>472.54074919999999</v>
      </c>
      <c r="K24" s="24">
        <v>0</v>
      </c>
      <c r="L24" s="24">
        <v>0</v>
      </c>
      <c r="M24" s="10">
        <v>472.54074919999999</v>
      </c>
      <c r="N24" s="10">
        <v>348.42035420000002</v>
      </c>
      <c r="O24" s="24">
        <v>0</v>
      </c>
      <c r="P24" s="10">
        <v>348.42035420000002</v>
      </c>
      <c r="Q24" s="24">
        <v>0</v>
      </c>
      <c r="R24" s="10">
        <v>582.54424319999998</v>
      </c>
      <c r="S24" s="24">
        <v>0</v>
      </c>
      <c r="T24" s="24">
        <v>0</v>
      </c>
      <c r="U24" s="10">
        <v>582.54424319999998</v>
      </c>
      <c r="V24" s="10">
        <v>613.98761190000005</v>
      </c>
      <c r="W24" s="24">
        <v>0</v>
      </c>
      <c r="X24" s="24">
        <v>0</v>
      </c>
      <c r="Y24" s="10">
        <v>613.98761190000005</v>
      </c>
      <c r="Z24" s="10">
        <v>558.29351989999998</v>
      </c>
      <c r="AA24" s="24">
        <v>0</v>
      </c>
      <c r="AB24" s="24">
        <v>0</v>
      </c>
      <c r="AC24" s="10">
        <v>558.29351989999998</v>
      </c>
      <c r="AD24" s="10">
        <v>481.42908920000002</v>
      </c>
      <c r="AE24" s="24">
        <v>0</v>
      </c>
      <c r="AF24" s="24">
        <v>0</v>
      </c>
      <c r="AG24" s="10">
        <v>481.42908920000002</v>
      </c>
      <c r="AH24" s="10">
        <v>520.60863289999998</v>
      </c>
      <c r="AI24" s="24">
        <v>0</v>
      </c>
      <c r="AJ24" s="24">
        <v>0</v>
      </c>
      <c r="AK24" s="10">
        <v>520.60863289999998</v>
      </c>
      <c r="AL24" s="10">
        <v>582.02606430000003</v>
      </c>
      <c r="AM24" s="24">
        <v>0</v>
      </c>
      <c r="AN24" s="24">
        <v>0</v>
      </c>
      <c r="AO24" s="10">
        <v>582.02606430000003</v>
      </c>
    </row>
    <row r="25" spans="1:41">
      <c r="A25" s="10">
        <v>11.5</v>
      </c>
      <c r="B25" s="10">
        <v>318.59970759999999</v>
      </c>
      <c r="C25" s="24">
        <v>0</v>
      </c>
      <c r="D25" s="24">
        <v>0</v>
      </c>
      <c r="E25" s="10">
        <v>318.59970759999999</v>
      </c>
      <c r="F25" s="10">
        <v>371.63463560000002</v>
      </c>
      <c r="G25" s="24">
        <v>0</v>
      </c>
      <c r="H25" s="24">
        <v>0</v>
      </c>
      <c r="I25" s="10">
        <v>371.63463560000002</v>
      </c>
      <c r="J25" s="10">
        <v>575.62873930000001</v>
      </c>
      <c r="K25" s="24">
        <v>0</v>
      </c>
      <c r="L25" s="24">
        <v>0</v>
      </c>
      <c r="M25" s="10">
        <v>575.62873930000001</v>
      </c>
      <c r="N25" s="10">
        <v>371.96830210000002</v>
      </c>
      <c r="O25" s="24">
        <v>0</v>
      </c>
      <c r="P25" s="10">
        <v>371.96830210000002</v>
      </c>
      <c r="Q25" s="24">
        <v>0</v>
      </c>
      <c r="R25" s="10">
        <v>561.2894685</v>
      </c>
      <c r="S25" s="24">
        <v>0</v>
      </c>
      <c r="T25" s="24">
        <v>0</v>
      </c>
      <c r="U25" s="10">
        <v>561.2894685</v>
      </c>
      <c r="V25" s="10">
        <v>542.00830810000002</v>
      </c>
      <c r="W25" s="24">
        <v>0</v>
      </c>
      <c r="X25" s="24">
        <v>0</v>
      </c>
      <c r="Y25" s="10">
        <v>542.00830810000002</v>
      </c>
      <c r="Z25" s="10">
        <v>512.92517150000003</v>
      </c>
      <c r="AA25" s="24">
        <v>0</v>
      </c>
      <c r="AB25" s="24">
        <v>0</v>
      </c>
      <c r="AC25" s="10">
        <v>512.92517150000003</v>
      </c>
      <c r="AD25" s="10">
        <v>307.85960069999999</v>
      </c>
      <c r="AE25" s="24">
        <v>0</v>
      </c>
      <c r="AF25" s="24">
        <v>0</v>
      </c>
      <c r="AG25" s="10">
        <v>307.85960069999999</v>
      </c>
      <c r="AH25" s="10">
        <v>526.27561009999999</v>
      </c>
      <c r="AI25" s="24">
        <v>0</v>
      </c>
      <c r="AJ25" s="24">
        <v>0</v>
      </c>
      <c r="AK25" s="10">
        <v>526.27561009999999</v>
      </c>
      <c r="AL25" s="10">
        <v>583.82997379999995</v>
      </c>
      <c r="AM25" s="24">
        <v>0</v>
      </c>
      <c r="AN25" s="24">
        <v>0</v>
      </c>
      <c r="AO25" s="10">
        <v>583.82997379999995</v>
      </c>
    </row>
    <row r="26" spans="1:41">
      <c r="A26" s="10">
        <v>12</v>
      </c>
      <c r="B26" s="10">
        <v>379.94914</v>
      </c>
      <c r="C26" s="24">
        <v>1</v>
      </c>
      <c r="D26" s="10">
        <v>379.94914</v>
      </c>
      <c r="E26" s="24">
        <v>0</v>
      </c>
      <c r="F26" s="10">
        <v>459.27456740000002</v>
      </c>
      <c r="G26" s="24">
        <v>1</v>
      </c>
      <c r="H26" s="10">
        <v>459.27456740000002</v>
      </c>
      <c r="I26" s="24">
        <v>0</v>
      </c>
      <c r="J26" s="10">
        <v>438.81350090000001</v>
      </c>
      <c r="K26" s="24">
        <v>1</v>
      </c>
      <c r="L26" s="10">
        <v>438.81350090000001</v>
      </c>
      <c r="M26" s="24">
        <v>0</v>
      </c>
      <c r="N26" s="10">
        <v>430.19161009999999</v>
      </c>
      <c r="O26" s="24">
        <v>1</v>
      </c>
      <c r="P26" s="10">
        <v>430.19161009999999</v>
      </c>
      <c r="Q26" s="24">
        <v>0</v>
      </c>
      <c r="R26" s="10">
        <v>457.41422940000001</v>
      </c>
      <c r="S26" s="24">
        <v>1</v>
      </c>
      <c r="T26" s="10">
        <v>457.41422940000001</v>
      </c>
      <c r="U26" s="24">
        <v>0</v>
      </c>
      <c r="V26" s="10">
        <v>338.5837669</v>
      </c>
      <c r="W26" s="24">
        <v>1</v>
      </c>
      <c r="X26" s="10">
        <v>338.5837669</v>
      </c>
      <c r="Y26" s="24">
        <v>0</v>
      </c>
      <c r="Z26" s="10">
        <v>543.36605699999996</v>
      </c>
      <c r="AA26" s="24">
        <v>1</v>
      </c>
      <c r="AB26" s="10">
        <v>543.36605699999996</v>
      </c>
      <c r="AC26" s="24">
        <v>0</v>
      </c>
      <c r="AD26" s="10">
        <v>342.03478289999998</v>
      </c>
      <c r="AE26" s="24">
        <v>1</v>
      </c>
      <c r="AF26" s="10">
        <v>342.03478289999998</v>
      </c>
      <c r="AG26" s="24">
        <v>0</v>
      </c>
      <c r="AH26" s="10">
        <v>637.25798180000004</v>
      </c>
      <c r="AI26" s="24">
        <v>1</v>
      </c>
      <c r="AJ26" s="10">
        <v>637.25798180000004</v>
      </c>
      <c r="AK26" s="24">
        <v>0</v>
      </c>
      <c r="AL26" s="10">
        <v>389.45546209999998</v>
      </c>
      <c r="AM26" s="24">
        <v>1</v>
      </c>
      <c r="AN26" s="10">
        <v>389.45546209999998</v>
      </c>
      <c r="AO26" s="24">
        <v>0</v>
      </c>
    </row>
    <row r="27" spans="1:41">
      <c r="A27" s="10">
        <v>12.5</v>
      </c>
      <c r="B27" s="10">
        <v>466.03273630000001</v>
      </c>
      <c r="C27" s="24">
        <v>0</v>
      </c>
      <c r="D27" s="24">
        <v>0</v>
      </c>
      <c r="E27" s="10">
        <v>466.03273630000001</v>
      </c>
      <c r="F27" s="10">
        <v>488.01147750000001</v>
      </c>
      <c r="G27" s="24">
        <v>0</v>
      </c>
      <c r="H27" s="24">
        <v>0</v>
      </c>
      <c r="I27" s="10">
        <v>488.01147750000001</v>
      </c>
      <c r="J27" s="10">
        <v>442.56102609999999</v>
      </c>
      <c r="K27" s="24">
        <v>0</v>
      </c>
      <c r="L27" s="24">
        <v>0</v>
      </c>
      <c r="M27" s="10">
        <v>442.56102609999999</v>
      </c>
      <c r="N27" s="10">
        <v>565.95585080000001</v>
      </c>
      <c r="O27" s="24">
        <v>0</v>
      </c>
      <c r="P27" s="24">
        <v>0</v>
      </c>
      <c r="Q27" s="10">
        <v>565.95585080000001</v>
      </c>
      <c r="R27" s="10">
        <v>598.6010192</v>
      </c>
      <c r="S27" s="24">
        <v>0</v>
      </c>
      <c r="T27" s="24">
        <v>0</v>
      </c>
      <c r="U27" s="10">
        <v>598.6010192</v>
      </c>
      <c r="V27" s="10">
        <v>694.89911089999998</v>
      </c>
      <c r="W27" s="24">
        <v>0</v>
      </c>
      <c r="X27" s="24">
        <v>0</v>
      </c>
      <c r="Y27" s="10">
        <v>694.89911089999998</v>
      </c>
      <c r="Z27" s="10">
        <v>490.3243056</v>
      </c>
      <c r="AA27" s="24">
        <v>0</v>
      </c>
      <c r="AB27" s="24">
        <v>0</v>
      </c>
      <c r="AC27" s="10">
        <v>490.3243056</v>
      </c>
      <c r="AD27" s="10">
        <v>566.9111279</v>
      </c>
      <c r="AE27" s="24">
        <v>0</v>
      </c>
      <c r="AF27" s="24">
        <v>0</v>
      </c>
      <c r="AG27" s="10">
        <v>566.9111279</v>
      </c>
      <c r="AH27" s="10">
        <v>612.49127739999994</v>
      </c>
      <c r="AI27" s="24">
        <v>0</v>
      </c>
      <c r="AJ27" s="24">
        <v>0</v>
      </c>
      <c r="AK27" s="10">
        <v>612.49127739999994</v>
      </c>
      <c r="AL27" s="10">
        <v>634.7346417</v>
      </c>
      <c r="AM27" s="24">
        <v>0</v>
      </c>
      <c r="AN27" s="24">
        <v>0</v>
      </c>
      <c r="AO27" s="10">
        <v>634.7346417</v>
      </c>
    </row>
    <row r="28" spans="1:41">
      <c r="A28" s="10">
        <v>13</v>
      </c>
      <c r="B28" s="10">
        <v>650.4997525</v>
      </c>
      <c r="C28" s="24">
        <v>0</v>
      </c>
      <c r="D28" s="24">
        <v>0</v>
      </c>
      <c r="E28" s="10">
        <v>650.4997525</v>
      </c>
      <c r="F28" s="10">
        <v>376.51764359999999</v>
      </c>
      <c r="G28" s="24">
        <v>0</v>
      </c>
      <c r="H28" s="24">
        <v>0</v>
      </c>
      <c r="I28" s="10">
        <v>376.51764359999999</v>
      </c>
      <c r="J28" s="10">
        <v>479.38565410000001</v>
      </c>
      <c r="K28" s="24">
        <v>0</v>
      </c>
      <c r="L28" s="24">
        <v>0</v>
      </c>
      <c r="M28" s="10">
        <v>479.38565410000001</v>
      </c>
      <c r="N28" s="10">
        <v>442.30630600000001</v>
      </c>
      <c r="O28" s="24">
        <v>0</v>
      </c>
      <c r="P28" s="24">
        <v>0</v>
      </c>
      <c r="Q28" s="10">
        <v>442.30630600000001</v>
      </c>
      <c r="R28" s="10">
        <v>665.14030679999996</v>
      </c>
      <c r="S28" s="24">
        <v>0</v>
      </c>
      <c r="T28" s="24">
        <v>0</v>
      </c>
      <c r="U28" s="10">
        <v>665.14030679999996</v>
      </c>
      <c r="V28" s="10">
        <v>678.32819180000001</v>
      </c>
      <c r="W28" s="24">
        <v>0</v>
      </c>
      <c r="X28" s="24">
        <v>0</v>
      </c>
      <c r="Y28" s="10">
        <v>678.32819180000001</v>
      </c>
      <c r="Z28" s="10">
        <v>416.27401529999997</v>
      </c>
      <c r="AA28" s="24">
        <v>0</v>
      </c>
      <c r="AB28" s="24">
        <v>0</v>
      </c>
      <c r="AC28" s="10">
        <v>416.27401529999997</v>
      </c>
      <c r="AD28" s="10">
        <v>623.0466457</v>
      </c>
      <c r="AE28" s="24">
        <v>0</v>
      </c>
      <c r="AF28" s="24">
        <v>0</v>
      </c>
      <c r="AG28" s="10">
        <v>623.0466457</v>
      </c>
      <c r="AH28" s="10">
        <v>475.3229359</v>
      </c>
      <c r="AI28" s="24">
        <v>0</v>
      </c>
      <c r="AJ28" s="24">
        <v>0</v>
      </c>
      <c r="AK28" s="10">
        <v>475.3229359</v>
      </c>
      <c r="AL28" s="10">
        <v>665.9664884</v>
      </c>
      <c r="AM28" s="24">
        <v>0</v>
      </c>
      <c r="AN28" s="24">
        <v>0</v>
      </c>
      <c r="AO28" s="10">
        <v>665.9664884</v>
      </c>
    </row>
    <row r="29" spans="1:41">
      <c r="A29" s="10">
        <v>13.5</v>
      </c>
      <c r="B29" s="10">
        <v>334.59154150000001</v>
      </c>
      <c r="C29" s="24">
        <v>1</v>
      </c>
      <c r="D29" s="10">
        <v>334.59154150000001</v>
      </c>
      <c r="E29" s="24">
        <v>0</v>
      </c>
      <c r="F29" s="10">
        <v>572.42644819999998</v>
      </c>
      <c r="G29" s="24">
        <v>1</v>
      </c>
      <c r="H29" s="10">
        <v>572.42644819999998</v>
      </c>
      <c r="I29" s="24">
        <v>0</v>
      </c>
      <c r="J29" s="10">
        <v>462.75399590000001</v>
      </c>
      <c r="K29" s="24">
        <v>1</v>
      </c>
      <c r="L29" s="10">
        <v>462.75399590000001</v>
      </c>
      <c r="M29" s="24">
        <v>0</v>
      </c>
      <c r="N29" s="10">
        <v>385.6233158</v>
      </c>
      <c r="O29" s="24">
        <v>1</v>
      </c>
      <c r="P29" s="10">
        <v>385.6233158</v>
      </c>
      <c r="Q29" s="24">
        <v>0</v>
      </c>
      <c r="R29" s="10">
        <v>364.9458649</v>
      </c>
      <c r="S29" s="24">
        <v>1</v>
      </c>
      <c r="T29" s="10">
        <v>364.9458649</v>
      </c>
      <c r="U29" s="24">
        <v>0</v>
      </c>
      <c r="V29" s="10">
        <v>362.11341220000003</v>
      </c>
      <c r="W29" s="24">
        <v>1</v>
      </c>
      <c r="X29" s="10">
        <v>362.11341220000003</v>
      </c>
      <c r="Y29" s="24">
        <v>0</v>
      </c>
      <c r="Z29" s="10">
        <v>356.13500420000003</v>
      </c>
      <c r="AA29" s="24">
        <v>1</v>
      </c>
      <c r="AB29" s="10">
        <v>356.13500420000003</v>
      </c>
      <c r="AC29" s="24">
        <v>0</v>
      </c>
      <c r="AD29" s="10">
        <v>438.76124720000001</v>
      </c>
      <c r="AE29" s="24">
        <v>1</v>
      </c>
      <c r="AF29" s="10">
        <v>438.76124720000001</v>
      </c>
      <c r="AG29" s="24">
        <v>0</v>
      </c>
      <c r="AH29" s="10">
        <v>386.1054006</v>
      </c>
      <c r="AI29" s="24">
        <v>1</v>
      </c>
      <c r="AJ29" s="10">
        <v>386.1054006</v>
      </c>
      <c r="AK29" s="24">
        <v>0</v>
      </c>
      <c r="AL29" s="10">
        <v>458.41270650000001</v>
      </c>
      <c r="AM29" s="24">
        <v>1</v>
      </c>
      <c r="AN29" s="10">
        <v>458.41270650000001</v>
      </c>
      <c r="AO29" s="24">
        <v>0</v>
      </c>
    </row>
    <row r="30" spans="1:41">
      <c r="A30" s="10">
        <v>14</v>
      </c>
      <c r="B30" s="10">
        <v>622.39037180000003</v>
      </c>
      <c r="C30" s="24">
        <v>0</v>
      </c>
      <c r="D30" s="24">
        <v>0</v>
      </c>
      <c r="E30" s="10">
        <v>622.39037180000003</v>
      </c>
      <c r="F30" s="10">
        <v>402.1880476</v>
      </c>
      <c r="G30" s="24">
        <v>0</v>
      </c>
      <c r="H30" s="24">
        <v>0</v>
      </c>
      <c r="I30" s="10">
        <v>402.1880476</v>
      </c>
      <c r="J30" s="10">
        <v>633.9482908</v>
      </c>
      <c r="K30" s="24">
        <v>0</v>
      </c>
      <c r="L30" s="24">
        <v>0</v>
      </c>
      <c r="M30" s="10">
        <v>633.9482908</v>
      </c>
      <c r="N30" s="10">
        <v>336.7669823</v>
      </c>
      <c r="O30" s="24">
        <v>0</v>
      </c>
      <c r="P30" s="24">
        <v>0</v>
      </c>
      <c r="Q30" s="10">
        <v>336.7669823</v>
      </c>
      <c r="R30" s="10">
        <v>329.23953</v>
      </c>
      <c r="S30" s="24">
        <v>0</v>
      </c>
      <c r="T30" s="24">
        <v>0</v>
      </c>
      <c r="U30" s="10">
        <v>329.23953</v>
      </c>
      <c r="V30" s="10">
        <v>419.89200039999997</v>
      </c>
      <c r="W30" s="24">
        <v>0</v>
      </c>
      <c r="X30" s="24">
        <v>0</v>
      </c>
      <c r="Y30" s="10">
        <v>419.89200039999997</v>
      </c>
      <c r="Z30" s="10">
        <v>630.36472170000002</v>
      </c>
      <c r="AA30" s="24">
        <v>0</v>
      </c>
      <c r="AB30" s="24">
        <v>0</v>
      </c>
      <c r="AC30" s="10">
        <v>630.36472170000002</v>
      </c>
      <c r="AD30" s="10">
        <v>494.60169760000002</v>
      </c>
      <c r="AE30" s="24">
        <v>0</v>
      </c>
      <c r="AF30" s="24">
        <v>0</v>
      </c>
      <c r="AG30" s="10">
        <v>494.60169760000002</v>
      </c>
      <c r="AH30" s="10">
        <v>601.3862378</v>
      </c>
      <c r="AI30" s="24">
        <v>0</v>
      </c>
      <c r="AJ30" s="24">
        <v>0</v>
      </c>
      <c r="AK30" s="10">
        <v>601.3862378</v>
      </c>
      <c r="AL30" s="10">
        <v>452.39135169999997</v>
      </c>
      <c r="AM30" s="24">
        <v>0</v>
      </c>
      <c r="AN30" s="24">
        <v>0</v>
      </c>
      <c r="AO30" s="10">
        <v>452.39135169999997</v>
      </c>
    </row>
    <row r="31" spans="1:41">
      <c r="A31" s="10">
        <v>14.5</v>
      </c>
      <c r="B31" s="10">
        <v>649.71356800000001</v>
      </c>
      <c r="C31" s="24">
        <v>0</v>
      </c>
      <c r="D31" s="24">
        <v>0</v>
      </c>
      <c r="E31" s="10">
        <v>649.71356800000001</v>
      </c>
      <c r="F31" s="10">
        <v>477.31321650000001</v>
      </c>
      <c r="G31" s="24">
        <v>0</v>
      </c>
      <c r="H31" s="24">
        <v>0</v>
      </c>
      <c r="I31" s="10">
        <v>477.31321650000001</v>
      </c>
      <c r="J31" s="10">
        <v>514.54904150000004</v>
      </c>
      <c r="K31" s="24">
        <v>0</v>
      </c>
      <c r="L31" s="24">
        <v>0</v>
      </c>
      <c r="M31" s="10">
        <v>514.54904150000004</v>
      </c>
      <c r="N31" s="10">
        <v>744.8775018</v>
      </c>
      <c r="O31" s="24">
        <v>0</v>
      </c>
      <c r="P31" s="24">
        <v>0</v>
      </c>
      <c r="Q31" s="10">
        <v>744.8775018</v>
      </c>
      <c r="R31" s="10">
        <v>403.63423410000001</v>
      </c>
      <c r="S31" s="24">
        <v>0</v>
      </c>
      <c r="T31" s="24">
        <v>0</v>
      </c>
      <c r="U31" s="10">
        <v>403.63423410000001</v>
      </c>
      <c r="V31" s="10">
        <v>770.11152089999996</v>
      </c>
      <c r="W31" s="24">
        <v>0</v>
      </c>
      <c r="X31" s="24">
        <v>0</v>
      </c>
      <c r="Y31" s="10">
        <v>770.11152089999996</v>
      </c>
      <c r="Z31" s="10">
        <v>536.71004649999998</v>
      </c>
      <c r="AA31" s="24">
        <v>0</v>
      </c>
      <c r="AB31" s="24">
        <v>0</v>
      </c>
      <c r="AC31" s="10">
        <v>536.71004649999998</v>
      </c>
      <c r="AD31" s="10">
        <v>746.00933510000004</v>
      </c>
      <c r="AE31" s="24">
        <v>0</v>
      </c>
      <c r="AF31" s="24">
        <v>0</v>
      </c>
      <c r="AG31" s="10">
        <v>746.00933510000004</v>
      </c>
      <c r="AH31" s="10">
        <v>712.28220329999999</v>
      </c>
      <c r="AI31" s="24">
        <v>0</v>
      </c>
      <c r="AJ31" s="24">
        <v>0</v>
      </c>
      <c r="AK31" s="10">
        <v>712.28220329999999</v>
      </c>
      <c r="AL31" s="10">
        <v>758.06272620000004</v>
      </c>
      <c r="AM31" s="24">
        <v>0</v>
      </c>
      <c r="AN31" s="24">
        <v>0</v>
      </c>
      <c r="AO31" s="10">
        <v>758.06272620000004</v>
      </c>
    </row>
    <row r="32" spans="1:41">
      <c r="A32" s="10">
        <v>15</v>
      </c>
      <c r="B32" s="10">
        <v>751.56290660000002</v>
      </c>
      <c r="C32" s="24">
        <v>0</v>
      </c>
      <c r="D32" s="24">
        <v>0</v>
      </c>
      <c r="E32" s="10">
        <v>751.56290660000002</v>
      </c>
      <c r="F32" s="10">
        <v>743.52815469999996</v>
      </c>
      <c r="G32" s="24">
        <v>0</v>
      </c>
      <c r="H32" s="24">
        <v>0</v>
      </c>
      <c r="I32" s="10">
        <v>743.52815469999996</v>
      </c>
      <c r="J32" s="10">
        <v>522.40425159999995</v>
      </c>
      <c r="K32" s="24">
        <v>0</v>
      </c>
      <c r="L32" s="24">
        <v>0</v>
      </c>
      <c r="M32" s="10">
        <v>522.40425159999995</v>
      </c>
      <c r="N32" s="10">
        <v>474.28890760000002</v>
      </c>
      <c r="O32" s="24">
        <v>0</v>
      </c>
      <c r="P32" s="24">
        <v>0</v>
      </c>
      <c r="Q32" s="10">
        <v>474.28890760000002</v>
      </c>
      <c r="R32" s="10">
        <v>757.50391960000002</v>
      </c>
      <c r="S32" s="24">
        <v>0</v>
      </c>
      <c r="T32" s="24">
        <v>0</v>
      </c>
      <c r="U32" s="10">
        <v>757.50391960000002</v>
      </c>
      <c r="V32" s="10">
        <v>595.90061370000001</v>
      </c>
      <c r="W32" s="24">
        <v>0</v>
      </c>
      <c r="X32" s="24">
        <v>0</v>
      </c>
      <c r="Y32" s="10">
        <v>595.90061370000001</v>
      </c>
      <c r="Z32" s="10">
        <v>774.33267499999999</v>
      </c>
      <c r="AA32" s="24">
        <v>0</v>
      </c>
      <c r="AB32" s="24">
        <v>0</v>
      </c>
      <c r="AC32" s="10">
        <v>774.33267499999999</v>
      </c>
      <c r="AD32" s="10">
        <v>523.70785309999997</v>
      </c>
      <c r="AE32" s="24">
        <v>0</v>
      </c>
      <c r="AF32" s="24">
        <v>0</v>
      </c>
      <c r="AG32" s="10">
        <v>523.70785309999997</v>
      </c>
      <c r="AH32" s="10">
        <v>805.40206139999998</v>
      </c>
      <c r="AI32" s="24">
        <v>0</v>
      </c>
      <c r="AJ32" s="24">
        <v>0</v>
      </c>
      <c r="AK32" s="10">
        <v>805.40206139999998</v>
      </c>
      <c r="AL32" s="10">
        <v>602.68410029999995</v>
      </c>
      <c r="AM32" s="24">
        <v>0</v>
      </c>
      <c r="AN32" s="24">
        <v>0</v>
      </c>
      <c r="AO32" s="10">
        <v>602.68410029999995</v>
      </c>
    </row>
    <row r="33" spans="1:41">
      <c r="A33" s="10">
        <v>15.5</v>
      </c>
      <c r="B33" s="10">
        <v>649.39099550000003</v>
      </c>
      <c r="C33" s="24">
        <v>1</v>
      </c>
      <c r="D33" s="10">
        <v>649.39099550000003</v>
      </c>
      <c r="E33" s="24">
        <v>0</v>
      </c>
      <c r="F33" s="10">
        <v>609.64904000000001</v>
      </c>
      <c r="G33" s="24">
        <v>1</v>
      </c>
      <c r="H33" s="10">
        <v>609.64904000000001</v>
      </c>
      <c r="I33" s="24">
        <v>0</v>
      </c>
      <c r="J33" s="10">
        <v>518.51246590000005</v>
      </c>
      <c r="K33" s="24">
        <v>1</v>
      </c>
      <c r="L33" s="10">
        <v>518.51246590000005</v>
      </c>
      <c r="M33" s="24">
        <v>0</v>
      </c>
      <c r="N33" s="10">
        <v>644.64753819999999</v>
      </c>
      <c r="O33" s="24">
        <v>1</v>
      </c>
      <c r="P33" s="10">
        <v>644.64753819999999</v>
      </c>
      <c r="Q33" s="24">
        <v>0</v>
      </c>
      <c r="R33" s="10">
        <v>763.54378919999999</v>
      </c>
      <c r="S33" s="24">
        <v>1</v>
      </c>
      <c r="T33" s="10">
        <v>763.54378919999999</v>
      </c>
      <c r="U33" s="24">
        <v>0</v>
      </c>
      <c r="V33" s="10">
        <v>557.54809350000005</v>
      </c>
      <c r="W33" s="24">
        <v>1</v>
      </c>
      <c r="X33" s="10">
        <v>557.54809350000005</v>
      </c>
      <c r="Y33" s="24">
        <v>0</v>
      </c>
      <c r="Z33" s="10">
        <v>546.02162420000002</v>
      </c>
      <c r="AA33" s="24">
        <v>1</v>
      </c>
      <c r="AB33" s="10">
        <v>546.02162420000002</v>
      </c>
      <c r="AC33" s="24">
        <v>0</v>
      </c>
      <c r="AD33" s="10">
        <v>444.46087160000002</v>
      </c>
      <c r="AE33" s="24">
        <v>1</v>
      </c>
      <c r="AF33" s="10">
        <v>444.46087160000002</v>
      </c>
      <c r="AG33" s="24">
        <v>0</v>
      </c>
      <c r="AH33" s="10">
        <v>525.81165780000003</v>
      </c>
      <c r="AI33" s="24">
        <v>1</v>
      </c>
      <c r="AJ33" s="10">
        <v>525.81165780000003</v>
      </c>
      <c r="AK33" s="24">
        <v>0</v>
      </c>
      <c r="AL33" s="10">
        <v>752.30578690000004</v>
      </c>
      <c r="AM33" s="24">
        <v>1</v>
      </c>
      <c r="AN33" s="10">
        <v>752.30578690000004</v>
      </c>
      <c r="AO33" s="24">
        <v>0</v>
      </c>
    </row>
    <row r="34" spans="1:41">
      <c r="A34" s="10">
        <v>16</v>
      </c>
      <c r="B34" s="10">
        <v>865.24109599999997</v>
      </c>
      <c r="C34" s="24">
        <v>1</v>
      </c>
      <c r="D34" s="10">
        <v>865.24109599999997</v>
      </c>
      <c r="E34" s="24">
        <v>0</v>
      </c>
      <c r="F34" s="10">
        <v>592.02769909999995</v>
      </c>
      <c r="G34" s="24">
        <v>1</v>
      </c>
      <c r="H34" s="10">
        <v>592.02769909999995</v>
      </c>
      <c r="I34" s="24">
        <v>0</v>
      </c>
      <c r="J34" s="10">
        <v>698.53755699999999</v>
      </c>
      <c r="K34" s="24">
        <v>1</v>
      </c>
      <c r="L34" s="10">
        <v>698.53755699999999</v>
      </c>
      <c r="M34" s="24">
        <v>0</v>
      </c>
      <c r="N34" s="10">
        <v>593.92295979999994</v>
      </c>
      <c r="O34" s="24">
        <v>1</v>
      </c>
      <c r="P34" s="10">
        <v>593.92295979999994</v>
      </c>
      <c r="Q34" s="24">
        <v>0</v>
      </c>
      <c r="R34" s="10">
        <v>749.76713900000004</v>
      </c>
      <c r="S34" s="24">
        <v>1</v>
      </c>
      <c r="T34" s="10">
        <v>749.76713900000004</v>
      </c>
      <c r="U34" s="24">
        <v>0</v>
      </c>
      <c r="V34" s="10">
        <v>668.25476119999996</v>
      </c>
      <c r="W34" s="24">
        <v>1</v>
      </c>
      <c r="X34" s="10">
        <v>668.25476119999996</v>
      </c>
      <c r="Y34" s="24">
        <v>0</v>
      </c>
      <c r="Z34" s="10">
        <v>509.89902569999998</v>
      </c>
      <c r="AA34" s="24">
        <v>1</v>
      </c>
      <c r="AB34" s="10">
        <v>509.89902569999998</v>
      </c>
      <c r="AC34" s="24">
        <v>0</v>
      </c>
      <c r="AD34" s="10">
        <v>463.18917720000002</v>
      </c>
      <c r="AE34" s="24">
        <v>1</v>
      </c>
      <c r="AF34" s="10">
        <v>463.18917720000002</v>
      </c>
      <c r="AG34" s="24">
        <v>0</v>
      </c>
      <c r="AH34" s="10">
        <v>487.30252769999998</v>
      </c>
      <c r="AI34" s="24">
        <v>1</v>
      </c>
      <c r="AJ34" s="10">
        <v>487.30252769999998</v>
      </c>
      <c r="AK34" s="24">
        <v>0</v>
      </c>
      <c r="AL34" s="10">
        <v>460.5929309</v>
      </c>
      <c r="AM34" s="24">
        <v>1</v>
      </c>
      <c r="AN34" s="10">
        <v>460.5929309</v>
      </c>
      <c r="AO34" s="24">
        <v>0</v>
      </c>
    </row>
    <row r="35" spans="1:41">
      <c r="A35" s="10">
        <v>16.5</v>
      </c>
      <c r="B35" s="10">
        <v>780.26648139999998</v>
      </c>
      <c r="C35" s="24">
        <v>1</v>
      </c>
      <c r="D35" s="10">
        <v>780.26648139999998</v>
      </c>
      <c r="E35" s="24">
        <v>0</v>
      </c>
      <c r="F35" s="10">
        <v>720.42755629999999</v>
      </c>
      <c r="G35" s="24">
        <v>1</v>
      </c>
      <c r="H35" s="10">
        <v>720.42755629999999</v>
      </c>
      <c r="I35" s="24">
        <v>0</v>
      </c>
      <c r="J35" s="10">
        <v>536.11834150000004</v>
      </c>
      <c r="K35" s="24">
        <v>1</v>
      </c>
      <c r="L35" s="10">
        <v>536.11834150000004</v>
      </c>
      <c r="M35" s="24">
        <v>0</v>
      </c>
      <c r="N35" s="10">
        <v>554.56102559999999</v>
      </c>
      <c r="O35" s="24">
        <v>1</v>
      </c>
      <c r="P35" s="10">
        <v>554.56102559999999</v>
      </c>
      <c r="Q35" s="24">
        <v>0</v>
      </c>
      <c r="R35" s="10">
        <v>471.23406829999999</v>
      </c>
      <c r="S35" s="24">
        <v>1</v>
      </c>
      <c r="T35" s="10">
        <v>471.23406829999999</v>
      </c>
      <c r="U35" s="24">
        <v>0</v>
      </c>
      <c r="V35" s="10">
        <v>791.98917670000003</v>
      </c>
      <c r="W35" s="24">
        <v>1</v>
      </c>
      <c r="X35" s="10">
        <v>791.98917670000003</v>
      </c>
      <c r="Y35" s="24">
        <v>0</v>
      </c>
      <c r="Z35" s="10">
        <v>684.77961619999996</v>
      </c>
      <c r="AA35" s="24">
        <v>1</v>
      </c>
      <c r="AB35" s="10">
        <v>684.77961619999996</v>
      </c>
      <c r="AC35" s="24">
        <v>0</v>
      </c>
      <c r="AD35" s="10">
        <v>732.09783890000006</v>
      </c>
      <c r="AE35" s="24">
        <v>1</v>
      </c>
      <c r="AF35" s="10">
        <v>732.09783890000006</v>
      </c>
      <c r="AG35" s="24">
        <v>0</v>
      </c>
      <c r="AH35" s="10">
        <v>506.14993709999999</v>
      </c>
      <c r="AI35" s="24">
        <v>1</v>
      </c>
      <c r="AJ35" s="10">
        <v>506.14993709999999</v>
      </c>
      <c r="AK35" s="24">
        <v>0</v>
      </c>
      <c r="AL35" s="10">
        <v>490.35500009999998</v>
      </c>
      <c r="AM35" s="24">
        <v>1</v>
      </c>
      <c r="AN35" s="10">
        <v>490.35500009999998</v>
      </c>
      <c r="AO35" s="24">
        <v>0</v>
      </c>
    </row>
    <row r="36" spans="1:41">
      <c r="A36" s="10">
        <v>17</v>
      </c>
      <c r="B36" s="10">
        <v>432.45962559999998</v>
      </c>
      <c r="C36" s="24">
        <v>1</v>
      </c>
      <c r="D36" s="10">
        <v>432.45962559999998</v>
      </c>
      <c r="E36" s="24">
        <v>0</v>
      </c>
      <c r="F36" s="10">
        <v>601.29642269999999</v>
      </c>
      <c r="G36" s="24">
        <v>1</v>
      </c>
      <c r="H36" s="10">
        <v>601.29642269999999</v>
      </c>
      <c r="I36" s="24">
        <v>0</v>
      </c>
      <c r="J36" s="10">
        <v>465.00342979999999</v>
      </c>
      <c r="K36" s="24">
        <v>1</v>
      </c>
      <c r="L36" s="10">
        <v>465.00342979999999</v>
      </c>
      <c r="M36" s="24">
        <v>0</v>
      </c>
      <c r="N36" s="10">
        <v>523.91821970000001</v>
      </c>
      <c r="O36" s="24">
        <v>1</v>
      </c>
      <c r="P36" s="10">
        <v>523.91821970000001</v>
      </c>
      <c r="Q36" s="24">
        <v>0</v>
      </c>
      <c r="R36" s="10">
        <v>508.82236870000003</v>
      </c>
      <c r="S36" s="24">
        <v>1</v>
      </c>
      <c r="T36" s="10">
        <v>508.82236870000003</v>
      </c>
      <c r="U36" s="24">
        <v>0</v>
      </c>
      <c r="V36" s="10">
        <v>621.10238460000005</v>
      </c>
      <c r="W36" s="24">
        <v>1</v>
      </c>
      <c r="X36" s="10">
        <v>621.10238460000005</v>
      </c>
      <c r="Y36" s="24">
        <v>0</v>
      </c>
      <c r="Z36" s="10">
        <v>513.0524633</v>
      </c>
      <c r="AA36" s="24">
        <v>1</v>
      </c>
      <c r="AB36" s="10">
        <v>513.0524633</v>
      </c>
      <c r="AC36" s="24">
        <v>0</v>
      </c>
      <c r="AD36" s="10">
        <v>418.54994979999998</v>
      </c>
      <c r="AE36" s="24">
        <v>1</v>
      </c>
      <c r="AF36" s="10">
        <v>418.54994979999998</v>
      </c>
      <c r="AG36" s="24">
        <v>0</v>
      </c>
      <c r="AH36" s="10">
        <v>738.35295499999995</v>
      </c>
      <c r="AI36" s="24">
        <v>1</v>
      </c>
      <c r="AJ36" s="10">
        <v>738.35295499999995</v>
      </c>
      <c r="AK36" s="24">
        <v>0</v>
      </c>
      <c r="AL36" s="10">
        <v>442.84435630000002</v>
      </c>
      <c r="AM36" s="24">
        <v>1</v>
      </c>
      <c r="AN36" s="10">
        <v>442.84435630000002</v>
      </c>
      <c r="AO36" s="24">
        <v>0</v>
      </c>
    </row>
    <row r="37" spans="1:41">
      <c r="A37" s="10">
        <v>17.5</v>
      </c>
      <c r="B37" s="10">
        <v>300.84510560000001</v>
      </c>
      <c r="C37" s="24">
        <v>1</v>
      </c>
      <c r="D37" s="10">
        <v>300.84510560000001</v>
      </c>
      <c r="E37" s="24">
        <v>0</v>
      </c>
      <c r="F37" s="10">
        <v>279.85529009999999</v>
      </c>
      <c r="G37" s="24">
        <v>1</v>
      </c>
      <c r="H37" s="10">
        <v>279.85529009999999</v>
      </c>
      <c r="I37" s="24">
        <v>0</v>
      </c>
      <c r="J37" s="10">
        <v>312.75314279999998</v>
      </c>
      <c r="K37" s="24">
        <v>1</v>
      </c>
      <c r="L37" s="10">
        <v>312.75314279999998</v>
      </c>
      <c r="M37" s="24">
        <v>0</v>
      </c>
      <c r="N37" s="10">
        <v>389.52929769999997</v>
      </c>
      <c r="O37" s="24">
        <v>1</v>
      </c>
      <c r="P37" s="10">
        <v>389.52929769999997</v>
      </c>
      <c r="Q37" s="24">
        <v>0</v>
      </c>
      <c r="R37" s="10">
        <v>258.81931459999998</v>
      </c>
      <c r="S37" s="24">
        <v>1</v>
      </c>
      <c r="T37" s="10">
        <v>258.81931459999998</v>
      </c>
      <c r="U37" s="24">
        <v>0</v>
      </c>
      <c r="V37" s="10">
        <v>462.74814959999998</v>
      </c>
      <c r="W37" s="24">
        <v>1</v>
      </c>
      <c r="X37" s="10">
        <v>462.74814959999998</v>
      </c>
      <c r="Y37" s="24">
        <v>0</v>
      </c>
      <c r="Z37" s="10">
        <v>270.84526069999998</v>
      </c>
      <c r="AA37" s="24">
        <v>1</v>
      </c>
      <c r="AB37" s="10">
        <v>270.84526069999998</v>
      </c>
      <c r="AC37" s="24">
        <v>0</v>
      </c>
      <c r="AD37" s="10">
        <v>260.60152049999999</v>
      </c>
      <c r="AE37" s="24">
        <v>1</v>
      </c>
      <c r="AF37" s="10">
        <v>260.60152049999999</v>
      </c>
      <c r="AG37" s="24">
        <v>0</v>
      </c>
      <c r="AH37" s="10">
        <v>324.87322870000003</v>
      </c>
      <c r="AI37" s="24">
        <v>1</v>
      </c>
      <c r="AJ37" s="10">
        <v>324.87322870000003</v>
      </c>
      <c r="AK37" s="24">
        <v>0</v>
      </c>
      <c r="AL37" s="10">
        <v>345.74315569999999</v>
      </c>
      <c r="AM37" s="24">
        <v>1</v>
      </c>
      <c r="AN37" s="10">
        <v>345.74315569999999</v>
      </c>
      <c r="AO37" s="24">
        <v>0</v>
      </c>
    </row>
    <row r="38" spans="1:41">
      <c r="A38" s="10">
        <v>18</v>
      </c>
      <c r="B38" s="10">
        <v>556.15520059999994</v>
      </c>
      <c r="C38" s="24">
        <v>1</v>
      </c>
      <c r="D38" s="10">
        <v>556.15520059999994</v>
      </c>
      <c r="E38" s="24">
        <v>0</v>
      </c>
      <c r="F38" s="10">
        <v>535.10249829999998</v>
      </c>
      <c r="G38" s="24">
        <v>1</v>
      </c>
      <c r="H38" s="10">
        <v>535.10249829999998</v>
      </c>
      <c r="I38" s="24">
        <v>0</v>
      </c>
      <c r="J38" s="10">
        <v>548.5883513</v>
      </c>
      <c r="K38" s="24">
        <v>1</v>
      </c>
      <c r="L38" s="10">
        <v>548.5883513</v>
      </c>
      <c r="M38" s="24">
        <v>0</v>
      </c>
      <c r="N38" s="10">
        <v>532.35288730000002</v>
      </c>
      <c r="O38" s="24">
        <v>1</v>
      </c>
      <c r="P38" s="10">
        <v>532.35288730000002</v>
      </c>
      <c r="Q38" s="24">
        <v>0</v>
      </c>
      <c r="R38" s="10">
        <v>703.52116860000001</v>
      </c>
      <c r="S38" s="24">
        <v>1</v>
      </c>
      <c r="T38" s="10">
        <v>703.52116860000001</v>
      </c>
      <c r="U38" s="24">
        <v>0</v>
      </c>
      <c r="V38" s="10">
        <v>555.19637179999995</v>
      </c>
      <c r="W38" s="24">
        <v>1</v>
      </c>
      <c r="X38" s="10">
        <v>555.19637179999995</v>
      </c>
      <c r="Y38" s="24">
        <v>0</v>
      </c>
      <c r="Z38" s="10">
        <v>453.62838119999998</v>
      </c>
      <c r="AA38" s="24">
        <v>1</v>
      </c>
      <c r="AB38" s="10">
        <v>453.62838119999998</v>
      </c>
      <c r="AC38" s="24">
        <v>0</v>
      </c>
      <c r="AD38" s="10">
        <v>510.89598910000001</v>
      </c>
      <c r="AE38" s="24">
        <v>1</v>
      </c>
      <c r="AF38" s="10">
        <v>510.89598910000001</v>
      </c>
      <c r="AG38" s="24">
        <v>0</v>
      </c>
      <c r="AH38" s="10">
        <v>395.89466429999999</v>
      </c>
      <c r="AI38" s="24">
        <v>1</v>
      </c>
      <c r="AJ38" s="10">
        <v>395.89466429999999</v>
      </c>
      <c r="AK38" s="24">
        <v>0</v>
      </c>
      <c r="AL38" s="10">
        <v>480.53960180000001</v>
      </c>
      <c r="AM38" s="24">
        <v>1</v>
      </c>
      <c r="AN38" s="10">
        <v>480.53960180000001</v>
      </c>
      <c r="AO38" s="24">
        <v>0</v>
      </c>
    </row>
    <row r="39" spans="1:41">
      <c r="A39" s="10">
        <v>18.5</v>
      </c>
      <c r="B39" s="10">
        <v>505.08741609999998</v>
      </c>
      <c r="C39" s="24">
        <v>1</v>
      </c>
      <c r="D39" s="10">
        <v>505.08741609999998</v>
      </c>
      <c r="E39" s="24">
        <v>0</v>
      </c>
      <c r="F39" s="10">
        <v>318.09157720000002</v>
      </c>
      <c r="G39" s="24">
        <v>1</v>
      </c>
      <c r="H39" s="10">
        <v>318.09157720000002</v>
      </c>
      <c r="I39" s="24">
        <v>0</v>
      </c>
      <c r="J39" s="10">
        <v>416.65988090000002</v>
      </c>
      <c r="K39" s="24">
        <v>1</v>
      </c>
      <c r="L39" s="10">
        <v>416.65988090000002</v>
      </c>
      <c r="M39" s="24">
        <v>0</v>
      </c>
      <c r="N39" s="10">
        <v>577.8604871</v>
      </c>
      <c r="O39" s="24">
        <v>1</v>
      </c>
      <c r="P39" s="10">
        <v>577.8604871</v>
      </c>
      <c r="Q39" s="24">
        <v>0</v>
      </c>
      <c r="R39" s="10">
        <v>582.47949640000002</v>
      </c>
      <c r="S39" s="24">
        <v>1</v>
      </c>
      <c r="T39" s="10">
        <v>582.47949640000002</v>
      </c>
      <c r="U39" s="24">
        <v>0</v>
      </c>
      <c r="V39" s="10">
        <v>578.45741840000005</v>
      </c>
      <c r="W39" s="24">
        <v>1</v>
      </c>
      <c r="X39" s="10">
        <v>578.45741840000005</v>
      </c>
      <c r="Y39" s="24">
        <v>0</v>
      </c>
      <c r="Z39" s="10">
        <v>532.50794440000004</v>
      </c>
      <c r="AA39" s="24">
        <v>1</v>
      </c>
      <c r="AB39" s="10">
        <v>532.50794440000004</v>
      </c>
      <c r="AC39" s="24">
        <v>0</v>
      </c>
      <c r="AD39" s="10">
        <v>352.71246330000002</v>
      </c>
      <c r="AE39" s="24">
        <v>1</v>
      </c>
      <c r="AF39" s="10">
        <v>352.71246330000002</v>
      </c>
      <c r="AG39" s="24">
        <v>0</v>
      </c>
      <c r="AH39" s="10">
        <v>584.69367139999997</v>
      </c>
      <c r="AI39" s="24">
        <v>1</v>
      </c>
      <c r="AJ39" s="10">
        <v>584.69367139999997</v>
      </c>
      <c r="AK39" s="24">
        <v>0</v>
      </c>
      <c r="AL39" s="10">
        <v>597.57924639999999</v>
      </c>
      <c r="AM39" s="24">
        <v>1</v>
      </c>
      <c r="AN39" s="10">
        <v>597.57924639999999</v>
      </c>
      <c r="AO39" s="24">
        <v>0</v>
      </c>
    </row>
    <row r="40" spans="1:41">
      <c r="A40" s="10">
        <v>19</v>
      </c>
      <c r="B40" s="10">
        <v>676.91699919999996</v>
      </c>
      <c r="C40" s="24">
        <v>1</v>
      </c>
      <c r="D40" s="10">
        <v>676.91699919999996</v>
      </c>
      <c r="E40" s="24">
        <v>0</v>
      </c>
      <c r="F40" s="10">
        <v>508.40874839999998</v>
      </c>
      <c r="G40" s="24">
        <v>1</v>
      </c>
      <c r="H40" s="10">
        <v>508.40874839999998</v>
      </c>
      <c r="I40" s="24">
        <v>0</v>
      </c>
      <c r="J40" s="10">
        <v>655.98912389999998</v>
      </c>
      <c r="K40" s="24">
        <v>1</v>
      </c>
      <c r="L40" s="10">
        <v>655.98912389999998</v>
      </c>
      <c r="M40" s="24">
        <v>0</v>
      </c>
      <c r="N40" s="10">
        <v>694.95954559999996</v>
      </c>
      <c r="O40" s="24">
        <v>1</v>
      </c>
      <c r="P40" s="10">
        <v>694.95954559999996</v>
      </c>
      <c r="Q40" s="24">
        <v>0</v>
      </c>
      <c r="R40" s="10">
        <v>673.86755540000001</v>
      </c>
      <c r="S40" s="24">
        <v>1</v>
      </c>
      <c r="T40" s="10">
        <v>673.86755540000001</v>
      </c>
      <c r="U40" s="24">
        <v>0</v>
      </c>
      <c r="V40" s="10">
        <v>387.51212020000003</v>
      </c>
      <c r="W40" s="24">
        <v>1</v>
      </c>
      <c r="X40" s="10">
        <v>387.51212020000003</v>
      </c>
      <c r="Y40" s="24">
        <v>0</v>
      </c>
      <c r="Z40" s="10">
        <v>623.58546260000003</v>
      </c>
      <c r="AA40" s="24">
        <v>1</v>
      </c>
      <c r="AB40" s="10">
        <v>623.58546260000003</v>
      </c>
      <c r="AC40" s="24">
        <v>0</v>
      </c>
      <c r="AD40" s="10">
        <v>414.04666859999998</v>
      </c>
      <c r="AE40" s="24">
        <v>1</v>
      </c>
      <c r="AF40" s="10">
        <v>414.04666859999998</v>
      </c>
      <c r="AG40" s="24">
        <v>0</v>
      </c>
      <c r="AH40" s="10">
        <v>436.65707739999999</v>
      </c>
      <c r="AI40" s="24">
        <v>1</v>
      </c>
      <c r="AJ40" s="10">
        <v>436.65707739999999</v>
      </c>
      <c r="AK40" s="24">
        <v>0</v>
      </c>
      <c r="AL40" s="10">
        <v>600.44964890000006</v>
      </c>
      <c r="AM40" s="24">
        <v>1</v>
      </c>
      <c r="AN40" s="10">
        <v>600.44964890000006</v>
      </c>
      <c r="AO40" s="24">
        <v>0</v>
      </c>
    </row>
    <row r="41" spans="1:41">
      <c r="A41" s="10">
        <v>19.5</v>
      </c>
      <c r="B41" s="10">
        <v>1574.2998359999999</v>
      </c>
      <c r="C41" s="24">
        <v>1</v>
      </c>
      <c r="D41" s="10">
        <v>1574.2998359999999</v>
      </c>
      <c r="E41" s="24">
        <v>0</v>
      </c>
      <c r="F41" s="10">
        <v>1244.29233</v>
      </c>
      <c r="G41" s="24">
        <v>1</v>
      </c>
      <c r="H41" s="10">
        <v>1244.29233</v>
      </c>
      <c r="I41" s="24">
        <v>0</v>
      </c>
      <c r="J41" s="10">
        <v>1004.161931</v>
      </c>
      <c r="K41" s="24">
        <v>1</v>
      </c>
      <c r="L41" s="10">
        <v>1004.161931</v>
      </c>
      <c r="M41" s="24">
        <v>0</v>
      </c>
      <c r="N41" s="10">
        <v>1284.4257580000001</v>
      </c>
      <c r="O41" s="24">
        <v>1</v>
      </c>
      <c r="P41" s="10">
        <v>1284.4257580000001</v>
      </c>
      <c r="Q41" s="24">
        <v>0</v>
      </c>
      <c r="R41" s="10">
        <v>1351.9975489999999</v>
      </c>
      <c r="S41" s="24">
        <v>1</v>
      </c>
      <c r="T41" s="10">
        <v>1351.9975489999999</v>
      </c>
      <c r="U41" s="24">
        <v>0</v>
      </c>
      <c r="V41" s="10">
        <v>1024.3518590000001</v>
      </c>
      <c r="W41" s="24">
        <v>1</v>
      </c>
      <c r="X41" s="10">
        <v>1024.3518590000001</v>
      </c>
      <c r="Y41" s="24">
        <v>0</v>
      </c>
      <c r="Z41" s="10">
        <v>1342.2810569999999</v>
      </c>
      <c r="AA41" s="24">
        <v>1</v>
      </c>
      <c r="AB41" s="10">
        <v>1342.2810569999999</v>
      </c>
      <c r="AC41" s="24">
        <v>0</v>
      </c>
      <c r="AD41" s="10">
        <v>1072.4123520000001</v>
      </c>
      <c r="AE41" s="24">
        <v>1</v>
      </c>
      <c r="AF41" s="10">
        <v>1072.4123520000001</v>
      </c>
      <c r="AG41" s="24">
        <v>0</v>
      </c>
      <c r="AH41" s="10">
        <v>1495.8287150000001</v>
      </c>
      <c r="AI41" s="24">
        <v>1</v>
      </c>
      <c r="AJ41" s="10">
        <v>1495.8287150000001</v>
      </c>
      <c r="AK41" s="24">
        <v>0</v>
      </c>
      <c r="AL41" s="10">
        <v>1799.178629</v>
      </c>
      <c r="AM41" s="24">
        <v>1</v>
      </c>
      <c r="AN41" s="10">
        <v>1799.178629</v>
      </c>
      <c r="AO41" s="24">
        <v>0</v>
      </c>
    </row>
    <row r="42" spans="1:41">
      <c r="A42" s="10">
        <v>20</v>
      </c>
      <c r="B42" s="10">
        <v>2045.4436250000001</v>
      </c>
      <c r="C42" s="24">
        <v>1</v>
      </c>
      <c r="D42" s="10">
        <v>2045.4436250000001</v>
      </c>
      <c r="E42" s="24">
        <v>0</v>
      </c>
      <c r="F42" s="10">
        <v>1361.410386</v>
      </c>
      <c r="G42" s="24">
        <v>1</v>
      </c>
      <c r="H42" s="10">
        <v>1361.410386</v>
      </c>
      <c r="I42" s="24">
        <v>0</v>
      </c>
      <c r="J42" s="10">
        <v>1861.378931</v>
      </c>
      <c r="K42" s="24">
        <v>1</v>
      </c>
      <c r="L42" s="10">
        <v>1861.378931</v>
      </c>
      <c r="M42" s="24">
        <v>0</v>
      </c>
      <c r="N42" s="10">
        <v>1306.2231300000001</v>
      </c>
      <c r="O42" s="24">
        <v>1</v>
      </c>
      <c r="P42" s="10">
        <v>1306.2231300000001</v>
      </c>
      <c r="Q42" s="24">
        <v>0</v>
      </c>
      <c r="R42" s="10">
        <v>2349.1432629999999</v>
      </c>
      <c r="S42" s="24">
        <v>1</v>
      </c>
      <c r="T42" s="10">
        <v>2349.1432629999999</v>
      </c>
      <c r="U42" s="24">
        <v>0</v>
      </c>
      <c r="V42" s="10">
        <v>2062.4310500000001</v>
      </c>
      <c r="W42" s="24">
        <v>1</v>
      </c>
      <c r="X42" s="10">
        <v>2062.4310500000001</v>
      </c>
      <c r="Y42" s="24">
        <v>0</v>
      </c>
      <c r="Z42" s="10">
        <v>2108.7090090000002</v>
      </c>
      <c r="AA42" s="24">
        <v>1</v>
      </c>
      <c r="AB42" s="10">
        <v>2108.7090090000002</v>
      </c>
      <c r="AC42" s="24">
        <v>0</v>
      </c>
      <c r="AD42" s="10">
        <v>2263.9292909999999</v>
      </c>
      <c r="AE42" s="24">
        <v>1</v>
      </c>
      <c r="AF42" s="10">
        <v>2263.9292909999999</v>
      </c>
      <c r="AG42" s="24">
        <v>0</v>
      </c>
      <c r="AH42" s="10">
        <v>1545.5019850000001</v>
      </c>
      <c r="AI42" s="24">
        <v>1</v>
      </c>
      <c r="AJ42" s="10">
        <v>1545.5019850000001</v>
      </c>
      <c r="AK42" s="24">
        <v>0</v>
      </c>
      <c r="AL42" s="10">
        <v>1792.135315</v>
      </c>
      <c r="AM42" s="24">
        <v>1</v>
      </c>
      <c r="AN42" s="10">
        <v>1792.135315</v>
      </c>
      <c r="AO42" s="24">
        <v>0</v>
      </c>
    </row>
    <row r="43" spans="1:41">
      <c r="A43" s="10">
        <v>20.5</v>
      </c>
      <c r="B43" s="10">
        <v>1113.7211500000001</v>
      </c>
      <c r="C43" s="24">
        <v>1</v>
      </c>
      <c r="D43" s="10">
        <v>1113.7211500000001</v>
      </c>
      <c r="E43" s="24">
        <v>0</v>
      </c>
      <c r="F43" s="10">
        <v>1139.015101</v>
      </c>
      <c r="G43" s="24">
        <v>1</v>
      </c>
      <c r="H43" s="10">
        <v>1139.015101</v>
      </c>
      <c r="I43" s="24">
        <v>0</v>
      </c>
      <c r="J43" s="10">
        <v>1956.023739</v>
      </c>
      <c r="K43" s="24">
        <v>1</v>
      </c>
      <c r="L43" s="10">
        <v>1956.023739</v>
      </c>
      <c r="M43" s="24">
        <v>0</v>
      </c>
      <c r="N43" s="10">
        <v>985.55946410000001</v>
      </c>
      <c r="O43" s="24">
        <v>1</v>
      </c>
      <c r="P43" s="10">
        <v>985.55946410000001</v>
      </c>
      <c r="Q43" s="24">
        <v>0</v>
      </c>
      <c r="R43" s="10">
        <v>1674.3452130000001</v>
      </c>
      <c r="S43" s="24">
        <v>1</v>
      </c>
      <c r="T43" s="10">
        <v>1674.3452130000001</v>
      </c>
      <c r="U43" s="24">
        <v>0</v>
      </c>
      <c r="V43" s="10">
        <v>1926.261581</v>
      </c>
      <c r="W43" s="24">
        <v>1</v>
      </c>
      <c r="X43" s="10">
        <v>1926.261581</v>
      </c>
      <c r="Y43" s="24">
        <v>0</v>
      </c>
      <c r="Z43" s="10">
        <v>1919.7295630000001</v>
      </c>
      <c r="AA43" s="24">
        <v>1</v>
      </c>
      <c r="AB43" s="10">
        <v>1919.7295630000001</v>
      </c>
      <c r="AC43" s="24">
        <v>0</v>
      </c>
      <c r="AD43" s="10">
        <v>1552.816824</v>
      </c>
      <c r="AE43" s="24">
        <v>1</v>
      </c>
      <c r="AF43" s="10">
        <v>1552.816824</v>
      </c>
      <c r="AG43" s="24">
        <v>0</v>
      </c>
      <c r="AH43" s="10">
        <v>1267.1527719999999</v>
      </c>
      <c r="AI43" s="24">
        <v>1</v>
      </c>
      <c r="AJ43" s="10">
        <v>1267.1527719999999</v>
      </c>
      <c r="AK43" s="24">
        <v>0</v>
      </c>
      <c r="AL43" s="10">
        <v>1452.4820930000001</v>
      </c>
      <c r="AM43" s="24">
        <v>1</v>
      </c>
      <c r="AN43" s="10">
        <v>1452.4820930000001</v>
      </c>
      <c r="AO43" s="24">
        <v>0</v>
      </c>
    </row>
    <row r="44" spans="1:41">
      <c r="A44" s="10">
        <v>21</v>
      </c>
      <c r="B44" s="10">
        <v>1179.4020989999999</v>
      </c>
      <c r="C44" s="24">
        <v>1</v>
      </c>
      <c r="D44" s="10">
        <v>1179.4020989999999</v>
      </c>
      <c r="E44" s="24">
        <v>0</v>
      </c>
      <c r="F44" s="10">
        <v>1045.949938</v>
      </c>
      <c r="G44" s="24">
        <v>1</v>
      </c>
      <c r="H44" s="10">
        <v>1045.949938</v>
      </c>
      <c r="I44" s="24">
        <v>0</v>
      </c>
      <c r="J44" s="10">
        <v>1444.3316400000001</v>
      </c>
      <c r="K44" s="24">
        <v>1</v>
      </c>
      <c r="L44" s="10">
        <v>1444.3316400000001</v>
      </c>
      <c r="M44" s="24">
        <v>0</v>
      </c>
      <c r="N44" s="10">
        <v>1517.500372</v>
      </c>
      <c r="O44" s="24">
        <v>1</v>
      </c>
      <c r="P44" s="10">
        <v>1517.500372</v>
      </c>
      <c r="Q44" s="24">
        <v>0</v>
      </c>
      <c r="R44" s="10">
        <v>1723.5756019999999</v>
      </c>
      <c r="S44" s="24">
        <v>1</v>
      </c>
      <c r="T44" s="10">
        <v>1723.5756019999999</v>
      </c>
      <c r="U44" s="24">
        <v>0</v>
      </c>
      <c r="V44" s="10">
        <v>1761.506885</v>
      </c>
      <c r="W44" s="24">
        <v>1</v>
      </c>
      <c r="X44" s="10">
        <v>1761.506885</v>
      </c>
      <c r="Y44" s="24">
        <v>0</v>
      </c>
      <c r="Z44" s="10">
        <v>1660.1505420000001</v>
      </c>
      <c r="AA44" s="24">
        <v>1</v>
      </c>
      <c r="AB44" s="10">
        <v>1660.1505420000001</v>
      </c>
      <c r="AC44" s="24">
        <v>0</v>
      </c>
      <c r="AD44" s="10">
        <v>949.76549899999998</v>
      </c>
      <c r="AE44" s="24">
        <v>1</v>
      </c>
      <c r="AF44" s="10">
        <v>949.76549899999998</v>
      </c>
      <c r="AG44" s="24">
        <v>0</v>
      </c>
      <c r="AH44" s="10">
        <v>1692.5098479999999</v>
      </c>
      <c r="AI44" s="24">
        <v>1</v>
      </c>
      <c r="AJ44" s="10">
        <v>1692.5098479999999</v>
      </c>
      <c r="AK44" s="24">
        <v>0</v>
      </c>
      <c r="AL44" s="10">
        <v>1405.3318320000001</v>
      </c>
      <c r="AM44" s="24">
        <v>1</v>
      </c>
      <c r="AN44" s="10">
        <v>1405.3318320000001</v>
      </c>
      <c r="AO44" s="24">
        <v>0</v>
      </c>
    </row>
    <row r="45" spans="1:41">
      <c r="A45" s="10">
        <v>21.5</v>
      </c>
      <c r="B45" s="10">
        <v>546.04107750000003</v>
      </c>
      <c r="C45" s="24">
        <v>1</v>
      </c>
      <c r="D45" s="10">
        <v>546.04107750000003</v>
      </c>
      <c r="E45" s="24">
        <v>0</v>
      </c>
      <c r="F45" s="10">
        <v>661.82050919999995</v>
      </c>
      <c r="G45" s="24">
        <v>1</v>
      </c>
      <c r="H45" s="10">
        <v>661.82050919999995</v>
      </c>
      <c r="I45" s="24">
        <v>0</v>
      </c>
      <c r="J45" s="10">
        <v>626.30865689999996</v>
      </c>
      <c r="K45" s="24">
        <v>1</v>
      </c>
      <c r="L45" s="10">
        <v>626.30865689999996</v>
      </c>
      <c r="M45" s="24">
        <v>0</v>
      </c>
      <c r="N45" s="10">
        <v>580.32982679999998</v>
      </c>
      <c r="O45" s="24">
        <v>1</v>
      </c>
      <c r="P45" s="10">
        <v>580.32982679999998</v>
      </c>
      <c r="Q45" s="24">
        <v>0</v>
      </c>
      <c r="R45" s="10">
        <v>750.86044479999998</v>
      </c>
      <c r="S45" s="24">
        <v>1</v>
      </c>
      <c r="T45" s="10">
        <v>750.86044479999998</v>
      </c>
      <c r="U45" s="24">
        <v>0</v>
      </c>
      <c r="V45" s="10">
        <v>544.56483449999996</v>
      </c>
      <c r="W45" s="24">
        <v>1</v>
      </c>
      <c r="X45" s="10">
        <v>544.56483449999996</v>
      </c>
      <c r="Y45" s="24">
        <v>0</v>
      </c>
      <c r="Z45" s="10">
        <v>674.19832210000004</v>
      </c>
      <c r="AA45" s="24">
        <v>1</v>
      </c>
      <c r="AB45" s="10">
        <v>674.19832210000004</v>
      </c>
      <c r="AC45" s="24">
        <v>0</v>
      </c>
      <c r="AD45" s="10">
        <v>767.07464259999995</v>
      </c>
      <c r="AE45" s="24">
        <v>1</v>
      </c>
      <c r="AF45" s="10">
        <v>767.07464259999995</v>
      </c>
      <c r="AG45" s="24">
        <v>0</v>
      </c>
      <c r="AH45" s="10">
        <v>622.6736952</v>
      </c>
      <c r="AI45" s="24">
        <v>1</v>
      </c>
      <c r="AJ45" s="10">
        <v>622.6736952</v>
      </c>
      <c r="AK45" s="24">
        <v>0</v>
      </c>
      <c r="AL45" s="10">
        <v>797.54566790000001</v>
      </c>
      <c r="AM45" s="24">
        <v>1</v>
      </c>
      <c r="AN45" s="10">
        <v>797.54566790000001</v>
      </c>
      <c r="AO45" s="24">
        <v>0</v>
      </c>
    </row>
    <row r="46" spans="1:41">
      <c r="A46" s="10">
        <v>22</v>
      </c>
      <c r="B46" s="10">
        <v>679.42521360000001</v>
      </c>
      <c r="C46" s="24">
        <v>1</v>
      </c>
      <c r="D46" s="10">
        <v>679.42521360000001</v>
      </c>
      <c r="E46" s="24">
        <v>0</v>
      </c>
      <c r="F46" s="10">
        <v>505.4851549</v>
      </c>
      <c r="G46" s="24">
        <v>1</v>
      </c>
      <c r="H46" s="10">
        <v>505.4851549</v>
      </c>
      <c r="I46" s="24">
        <v>0</v>
      </c>
      <c r="J46" s="10">
        <v>722.78049280000005</v>
      </c>
      <c r="K46" s="24">
        <v>1</v>
      </c>
      <c r="L46" s="10">
        <v>722.78049280000005</v>
      </c>
      <c r="M46" s="24">
        <v>0</v>
      </c>
      <c r="N46" s="10">
        <v>894.87764549999997</v>
      </c>
      <c r="O46" s="24">
        <v>1</v>
      </c>
      <c r="P46" s="10">
        <v>894.87764549999997</v>
      </c>
      <c r="Q46" s="24">
        <v>0</v>
      </c>
      <c r="R46" s="10">
        <v>691.33758580000006</v>
      </c>
      <c r="S46" s="24">
        <v>1</v>
      </c>
      <c r="T46" s="10">
        <v>691.33758580000006</v>
      </c>
      <c r="U46" s="24">
        <v>0</v>
      </c>
      <c r="V46" s="10">
        <v>562.01652990000002</v>
      </c>
      <c r="W46" s="24">
        <v>1</v>
      </c>
      <c r="X46" s="10">
        <v>562.01652990000002</v>
      </c>
      <c r="Y46" s="24">
        <v>0</v>
      </c>
      <c r="Z46" s="10">
        <v>550.78218119999997</v>
      </c>
      <c r="AA46" s="24">
        <v>1</v>
      </c>
      <c r="AB46" s="10">
        <v>550.78218119999997</v>
      </c>
      <c r="AC46" s="24">
        <v>0</v>
      </c>
      <c r="AD46" s="10">
        <v>885.75490230000003</v>
      </c>
      <c r="AE46" s="24">
        <v>1</v>
      </c>
      <c r="AF46" s="10">
        <v>885.75490230000003</v>
      </c>
      <c r="AG46" s="24">
        <v>0</v>
      </c>
      <c r="AH46" s="10">
        <v>677.73610980000001</v>
      </c>
      <c r="AI46" s="24">
        <v>1</v>
      </c>
      <c r="AJ46" s="10">
        <v>677.73610980000001</v>
      </c>
      <c r="AK46" s="24">
        <v>0</v>
      </c>
      <c r="AL46" s="10">
        <v>564.09339030000001</v>
      </c>
      <c r="AM46" s="24">
        <v>1</v>
      </c>
      <c r="AN46" s="10">
        <v>564.09339030000001</v>
      </c>
      <c r="AO46" s="24">
        <v>0</v>
      </c>
    </row>
    <row r="47" spans="1:41">
      <c r="A47" s="10">
        <v>22.5</v>
      </c>
      <c r="B47" s="10">
        <v>556.97479039999996</v>
      </c>
      <c r="C47" s="24">
        <v>1</v>
      </c>
      <c r="D47" s="10">
        <v>556.97479039999996</v>
      </c>
      <c r="E47" s="24">
        <v>0</v>
      </c>
      <c r="F47" s="10">
        <v>827.09332410000002</v>
      </c>
      <c r="G47" s="24">
        <v>1</v>
      </c>
      <c r="H47" s="10">
        <v>827.09332410000002</v>
      </c>
      <c r="I47" s="24">
        <v>0</v>
      </c>
      <c r="J47" s="10">
        <v>439.7717973</v>
      </c>
      <c r="K47" s="24">
        <v>1</v>
      </c>
      <c r="L47" s="10">
        <v>439.7717973</v>
      </c>
      <c r="M47" s="24">
        <v>0</v>
      </c>
      <c r="N47" s="10">
        <v>833.32520150000005</v>
      </c>
      <c r="O47" s="24">
        <v>1</v>
      </c>
      <c r="P47" s="10">
        <v>833.32520150000005</v>
      </c>
      <c r="Q47" s="24">
        <v>0</v>
      </c>
      <c r="R47" s="10">
        <v>601.32126459999995</v>
      </c>
      <c r="S47" s="24">
        <v>1</v>
      </c>
      <c r="T47" s="10">
        <v>601.32126459999995</v>
      </c>
      <c r="U47" s="24">
        <v>0</v>
      </c>
      <c r="V47" s="10">
        <v>639.23126660000003</v>
      </c>
      <c r="W47" s="24">
        <v>1</v>
      </c>
      <c r="X47" s="10">
        <v>639.23126660000003</v>
      </c>
      <c r="Y47" s="24">
        <v>0</v>
      </c>
      <c r="Z47" s="10">
        <v>454.65954909999999</v>
      </c>
      <c r="AA47" s="24">
        <v>1</v>
      </c>
      <c r="AB47" s="10">
        <v>454.65954909999999</v>
      </c>
      <c r="AC47" s="24">
        <v>0</v>
      </c>
      <c r="AD47" s="10">
        <v>700.42267890000005</v>
      </c>
      <c r="AE47" s="24">
        <v>1</v>
      </c>
      <c r="AF47" s="10">
        <v>700.42267890000005</v>
      </c>
      <c r="AG47" s="24">
        <v>0</v>
      </c>
      <c r="AH47" s="10">
        <v>600.38150169999994</v>
      </c>
      <c r="AI47" s="24">
        <v>1</v>
      </c>
      <c r="AJ47" s="10">
        <v>600.38150169999994</v>
      </c>
      <c r="AK47" s="24">
        <v>0</v>
      </c>
      <c r="AL47" s="10">
        <v>785.8984385</v>
      </c>
      <c r="AM47" s="24">
        <v>1</v>
      </c>
      <c r="AN47" s="10">
        <v>785.8984385</v>
      </c>
      <c r="AO47" s="24">
        <v>0</v>
      </c>
    </row>
    <row r="48" spans="1:41">
      <c r="A48" s="10">
        <v>23</v>
      </c>
      <c r="B48" s="10">
        <v>815.83778970000003</v>
      </c>
      <c r="C48" s="24">
        <v>1</v>
      </c>
      <c r="D48" s="10">
        <v>815.83778970000003</v>
      </c>
      <c r="E48" s="24">
        <v>0</v>
      </c>
      <c r="F48" s="10">
        <v>567.94594910000001</v>
      </c>
      <c r="G48" s="24">
        <v>1</v>
      </c>
      <c r="H48" s="10">
        <v>567.94594910000001</v>
      </c>
      <c r="I48" s="24">
        <v>0</v>
      </c>
      <c r="J48" s="10">
        <v>747.45991660000004</v>
      </c>
      <c r="K48" s="24">
        <v>1</v>
      </c>
      <c r="L48" s="10">
        <v>747.45991660000004</v>
      </c>
      <c r="M48" s="24">
        <v>0</v>
      </c>
      <c r="N48" s="10">
        <v>623.1090355</v>
      </c>
      <c r="O48" s="24">
        <v>1</v>
      </c>
      <c r="P48" s="10">
        <v>623.1090355</v>
      </c>
      <c r="Q48" s="24">
        <v>0</v>
      </c>
      <c r="R48" s="10">
        <v>585.70085849999998</v>
      </c>
      <c r="S48" s="24">
        <v>1</v>
      </c>
      <c r="T48" s="10">
        <v>585.70085849999998</v>
      </c>
      <c r="U48" s="24">
        <v>0</v>
      </c>
      <c r="V48" s="10">
        <v>474.06575980000002</v>
      </c>
      <c r="W48" s="24">
        <v>1</v>
      </c>
      <c r="X48" s="10">
        <v>474.06575980000002</v>
      </c>
      <c r="Y48" s="24">
        <v>0</v>
      </c>
      <c r="Z48" s="10">
        <v>479.15714839999998</v>
      </c>
      <c r="AA48" s="24">
        <v>1</v>
      </c>
      <c r="AB48" s="10">
        <v>479.15714839999998</v>
      </c>
      <c r="AC48" s="24">
        <v>0</v>
      </c>
      <c r="AD48" s="10">
        <v>578.28175450000003</v>
      </c>
      <c r="AE48" s="24">
        <v>1</v>
      </c>
      <c r="AF48" s="10">
        <v>578.28175450000003</v>
      </c>
      <c r="AG48" s="24">
        <v>0</v>
      </c>
      <c r="AH48" s="10">
        <v>500.55545160000003</v>
      </c>
      <c r="AI48" s="24">
        <v>1</v>
      </c>
      <c r="AJ48" s="10">
        <v>500.55545160000003</v>
      </c>
      <c r="AK48" s="24">
        <v>0</v>
      </c>
      <c r="AL48" s="10">
        <v>843.57549329999995</v>
      </c>
      <c r="AM48" s="24">
        <v>1</v>
      </c>
      <c r="AN48" s="10">
        <v>843.57549329999995</v>
      </c>
      <c r="AO48" s="24">
        <v>0</v>
      </c>
    </row>
    <row r="49" spans="1:41">
      <c r="A49" s="10">
        <v>23.5</v>
      </c>
      <c r="B49" s="10">
        <v>529.42197859999999</v>
      </c>
      <c r="C49" s="24">
        <v>1</v>
      </c>
      <c r="D49" s="10">
        <v>529.42197859999999</v>
      </c>
      <c r="E49" s="24">
        <v>0</v>
      </c>
      <c r="F49" s="10">
        <v>445.43309670000002</v>
      </c>
      <c r="G49" s="24">
        <v>1</v>
      </c>
      <c r="H49" s="10">
        <v>445.43309670000002</v>
      </c>
      <c r="I49" s="24">
        <v>0</v>
      </c>
      <c r="J49" s="10">
        <v>548.48434429999998</v>
      </c>
      <c r="K49" s="24">
        <v>1</v>
      </c>
      <c r="L49" s="10">
        <v>548.48434429999998</v>
      </c>
      <c r="M49" s="24">
        <v>0</v>
      </c>
      <c r="N49" s="10">
        <v>755.52599310000005</v>
      </c>
      <c r="O49" s="24">
        <v>1</v>
      </c>
      <c r="P49" s="10">
        <v>755.52599310000005</v>
      </c>
      <c r="Q49" s="24">
        <v>0</v>
      </c>
      <c r="R49" s="10">
        <v>798.80713249999997</v>
      </c>
      <c r="S49" s="24">
        <v>1</v>
      </c>
      <c r="T49" s="10">
        <v>798.80713249999997</v>
      </c>
      <c r="U49" s="24">
        <v>0</v>
      </c>
      <c r="V49" s="10">
        <v>715.31456990000004</v>
      </c>
      <c r="W49" s="24">
        <v>1</v>
      </c>
      <c r="X49" s="10">
        <v>715.31456990000004</v>
      </c>
      <c r="Y49" s="24">
        <v>0</v>
      </c>
      <c r="Z49" s="10">
        <v>809.32870519999994</v>
      </c>
      <c r="AA49" s="24">
        <v>1</v>
      </c>
      <c r="AB49" s="10">
        <v>809.32870519999994</v>
      </c>
      <c r="AC49" s="24">
        <v>0</v>
      </c>
      <c r="AD49" s="10">
        <v>548.28084569999999</v>
      </c>
      <c r="AE49" s="24">
        <v>1</v>
      </c>
      <c r="AF49" s="10">
        <v>548.28084569999999</v>
      </c>
      <c r="AG49" s="24">
        <v>0</v>
      </c>
      <c r="AH49" s="10">
        <v>737.73851549999995</v>
      </c>
      <c r="AI49" s="24">
        <v>1</v>
      </c>
      <c r="AJ49" s="10">
        <v>737.73851549999995</v>
      </c>
      <c r="AK49" s="24">
        <v>0</v>
      </c>
      <c r="AL49" s="10">
        <v>469.39364499999999</v>
      </c>
      <c r="AM49" s="24">
        <v>1</v>
      </c>
      <c r="AN49" s="10">
        <v>469.39364499999999</v>
      </c>
      <c r="AO49" s="24">
        <v>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AT49"/>
  <sheetViews>
    <sheetView topLeftCell="AC1" workbookViewId="0">
      <selection activeCell="AF21" sqref="AF21"/>
    </sheetView>
  </sheetViews>
  <sheetFormatPr defaultColWidth="14.42578125" defaultRowHeight="15" customHeight="1"/>
  <sheetData>
    <row r="1" spans="1:46">
      <c r="A1" s="17" t="s">
        <v>3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13</v>
      </c>
      <c r="J1" s="10" t="s">
        <v>14</v>
      </c>
      <c r="K1" s="10" t="s">
        <v>15</v>
      </c>
      <c r="L1" s="10" t="s">
        <v>16</v>
      </c>
      <c r="M1" s="10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10" t="s">
        <v>22</v>
      </c>
      <c r="S1" s="10" t="s">
        <v>23</v>
      </c>
      <c r="T1" s="10" t="s">
        <v>24</v>
      </c>
      <c r="U1" s="10" t="s">
        <v>25</v>
      </c>
      <c r="V1" s="10" t="s">
        <v>26</v>
      </c>
      <c r="W1" s="10" t="s">
        <v>27</v>
      </c>
      <c r="X1" s="10" t="s">
        <v>28</v>
      </c>
      <c r="Y1" s="10" t="s">
        <v>29</v>
      </c>
      <c r="Z1" s="10" t="s">
        <v>30</v>
      </c>
      <c r="AA1" s="10" t="s">
        <v>31</v>
      </c>
      <c r="AB1" s="10" t="s">
        <v>32</v>
      </c>
      <c r="AC1" s="10" t="s">
        <v>33</v>
      </c>
      <c r="AD1" s="10" t="s">
        <v>34</v>
      </c>
      <c r="AE1" s="10" t="s">
        <v>35</v>
      </c>
      <c r="AF1" s="10" t="s">
        <v>36</v>
      </c>
      <c r="AG1" s="10" t="s">
        <v>37</v>
      </c>
      <c r="AH1" s="10" t="s">
        <v>38</v>
      </c>
      <c r="AI1" s="10" t="s">
        <v>39</v>
      </c>
      <c r="AJ1" s="10" t="s">
        <v>40</v>
      </c>
      <c r="AK1" s="10" t="s">
        <v>41</v>
      </c>
      <c r="AL1" s="19" t="s">
        <v>39</v>
      </c>
      <c r="AM1" s="19" t="s">
        <v>42</v>
      </c>
      <c r="AN1" s="19" t="s">
        <v>43</v>
      </c>
      <c r="AO1" s="17" t="s">
        <v>65</v>
      </c>
      <c r="AP1" s="19" t="s">
        <v>45</v>
      </c>
      <c r="AQ1" s="19" t="s">
        <v>46</v>
      </c>
      <c r="AR1" s="19" t="s">
        <v>47</v>
      </c>
      <c r="AS1" s="19" t="s">
        <v>48</v>
      </c>
      <c r="AT1" t="s">
        <v>69</v>
      </c>
    </row>
    <row r="2" spans="1:46">
      <c r="A2" s="10">
        <v>0</v>
      </c>
      <c r="B2" s="10">
        <v>0</v>
      </c>
      <c r="C2" s="10">
        <v>600</v>
      </c>
      <c r="D2" s="10">
        <v>920.7886221</v>
      </c>
      <c r="E2" s="10">
        <v>905.78067180000005</v>
      </c>
      <c r="F2" s="10">
        <v>1175.143957</v>
      </c>
      <c r="G2" s="10">
        <v>735.80151720000003</v>
      </c>
      <c r="H2" s="10">
        <v>1028.3563779999999</v>
      </c>
      <c r="I2" s="10">
        <v>1092.0700429999999</v>
      </c>
      <c r="J2" s="10">
        <v>1087.3378769999999</v>
      </c>
      <c r="K2" s="10">
        <v>867.24115730000005</v>
      </c>
      <c r="L2" s="10">
        <v>847.52713129999995</v>
      </c>
      <c r="M2" s="10">
        <v>1057.4596509999999</v>
      </c>
      <c r="N2" s="10">
        <v>1134.215418</v>
      </c>
      <c r="O2" s="10">
        <v>900.76714790000005</v>
      </c>
      <c r="P2" s="10">
        <v>731.38409760000002</v>
      </c>
      <c r="Q2" s="10">
        <v>911.41002519999995</v>
      </c>
      <c r="R2" s="10">
        <v>957.37121509999997</v>
      </c>
      <c r="S2" s="10">
        <v>741.26126869999996</v>
      </c>
      <c r="T2" s="10">
        <v>712.75708210000005</v>
      </c>
      <c r="U2" s="10">
        <v>1091.5633</v>
      </c>
      <c r="V2" s="10">
        <v>1025.575556</v>
      </c>
      <c r="W2" s="10">
        <v>1085.6052589999999</v>
      </c>
      <c r="X2" s="10">
        <v>968.51267970000004</v>
      </c>
      <c r="Y2" s="10">
        <v>741.30093850000003</v>
      </c>
      <c r="Z2" s="10">
        <v>706.5475275</v>
      </c>
      <c r="AA2" s="10">
        <v>698.49486009999998</v>
      </c>
      <c r="AB2" s="10">
        <v>764.40458709999996</v>
      </c>
      <c r="AC2" s="10">
        <v>676.46608670000001</v>
      </c>
      <c r="AD2" s="10">
        <v>1043.4064989999999</v>
      </c>
      <c r="AE2" s="10">
        <v>1132.815728</v>
      </c>
      <c r="AF2" s="10">
        <v>828.85843739999996</v>
      </c>
      <c r="AG2" s="10">
        <v>888.87812650000001</v>
      </c>
      <c r="AH2" s="10">
        <v>915.30342819333339</v>
      </c>
      <c r="AI2" s="10">
        <v>0.6</v>
      </c>
      <c r="AJ2" s="10">
        <v>1525.5057136555556</v>
      </c>
      <c r="AK2" s="10">
        <v>15.255057136555557</v>
      </c>
      <c r="AL2" s="19">
        <v>0.2</v>
      </c>
      <c r="AM2" s="10">
        <v>305.10114273111111</v>
      </c>
      <c r="AN2" s="10" t="s">
        <v>49</v>
      </c>
      <c r="AO2" s="19" t="s">
        <v>50</v>
      </c>
      <c r="AP2" s="10" t="s">
        <v>66</v>
      </c>
      <c r="AQ2" s="10" t="s">
        <v>67</v>
      </c>
      <c r="AR2" s="19">
        <v>0</v>
      </c>
      <c r="AS2" s="10">
        <v>305.10114273111111</v>
      </c>
      <c r="AT2">
        <v>1</v>
      </c>
    </row>
    <row r="3" spans="1:46">
      <c r="A3" s="10">
        <v>0.5</v>
      </c>
      <c r="B3" s="10">
        <v>1800</v>
      </c>
      <c r="C3" s="10">
        <v>500</v>
      </c>
      <c r="D3" s="10">
        <v>935.81941519999998</v>
      </c>
      <c r="E3" s="10">
        <v>598.54699459999995</v>
      </c>
      <c r="F3" s="10">
        <v>854.26880800000004</v>
      </c>
      <c r="G3" s="10">
        <v>975.55024209999999</v>
      </c>
      <c r="H3" s="10">
        <v>860.77255270000001</v>
      </c>
      <c r="I3" s="10">
        <v>980.80803579999997</v>
      </c>
      <c r="J3" s="10">
        <v>714.55348770000001</v>
      </c>
      <c r="K3" s="10">
        <v>516.08057110000004</v>
      </c>
      <c r="L3" s="10">
        <v>989.80125799999996</v>
      </c>
      <c r="M3" s="10">
        <v>706.24266399999999</v>
      </c>
      <c r="N3" s="10">
        <v>804.21519509999996</v>
      </c>
      <c r="O3" s="10">
        <v>817.5895921</v>
      </c>
      <c r="P3" s="10">
        <v>618.61288039999999</v>
      </c>
      <c r="Q3" s="10">
        <v>666.00552700000003</v>
      </c>
      <c r="R3" s="10">
        <v>886.99357540000005</v>
      </c>
      <c r="S3" s="10">
        <v>800.07851640000001</v>
      </c>
      <c r="T3" s="10">
        <v>728.14721380000003</v>
      </c>
      <c r="U3" s="10">
        <v>993.52573029999996</v>
      </c>
      <c r="V3" s="10">
        <v>527.63813679999998</v>
      </c>
      <c r="W3" s="10">
        <v>598.7493068</v>
      </c>
      <c r="X3" s="10">
        <v>576.99071819999995</v>
      </c>
      <c r="Y3" s="10">
        <v>780.56799720000004</v>
      </c>
      <c r="Z3" s="10">
        <v>664.81962859999999</v>
      </c>
      <c r="AA3" s="10">
        <v>669.46588580000002</v>
      </c>
      <c r="AB3" s="10">
        <v>970.37728319999997</v>
      </c>
      <c r="AC3" s="10">
        <v>504.96203889999998</v>
      </c>
      <c r="AD3" s="10">
        <v>934.20688040000005</v>
      </c>
      <c r="AE3" s="10">
        <v>795.12821759999997</v>
      </c>
      <c r="AF3" s="10">
        <v>999.42336069999999</v>
      </c>
      <c r="AG3" s="10">
        <v>964.32607199999995</v>
      </c>
      <c r="AH3" s="10">
        <v>781.14225952999993</v>
      </c>
      <c r="AI3" s="10">
        <v>0.6</v>
      </c>
      <c r="AJ3" s="10">
        <v>1301.9037658833333</v>
      </c>
      <c r="AK3" s="10">
        <v>13.019037658833334</v>
      </c>
      <c r="AL3" s="10">
        <v>0.2</v>
      </c>
      <c r="AM3" s="10">
        <v>260.3807531766667</v>
      </c>
      <c r="AN3" s="10" t="s">
        <v>49</v>
      </c>
      <c r="AO3" s="10" t="s">
        <v>50</v>
      </c>
      <c r="AP3" s="10" t="s">
        <v>66</v>
      </c>
      <c r="AQ3" s="10" t="s">
        <v>67</v>
      </c>
      <c r="AR3" s="19">
        <v>0</v>
      </c>
      <c r="AS3" s="10">
        <v>260.3807531766667</v>
      </c>
      <c r="AT3">
        <v>1</v>
      </c>
    </row>
    <row r="4" spans="1:46">
      <c r="A4" s="10">
        <v>1</v>
      </c>
      <c r="B4" s="10">
        <v>3600</v>
      </c>
      <c r="C4" s="10">
        <v>200</v>
      </c>
      <c r="D4" s="10">
        <v>326.85595649999999</v>
      </c>
      <c r="E4" s="10">
        <v>286.70335540000002</v>
      </c>
      <c r="F4" s="10">
        <v>232.33887100000001</v>
      </c>
      <c r="G4" s="10">
        <v>348.15515499999998</v>
      </c>
      <c r="H4" s="10">
        <v>378.45835529999999</v>
      </c>
      <c r="I4" s="10">
        <v>366.31186910000002</v>
      </c>
      <c r="J4" s="10">
        <v>364.01482620000002</v>
      </c>
      <c r="K4" s="10">
        <v>266.5080567</v>
      </c>
      <c r="L4" s="10">
        <v>266.31547560000001</v>
      </c>
      <c r="M4" s="10">
        <v>389.40246089999999</v>
      </c>
      <c r="N4" s="10">
        <v>309.83892129999998</v>
      </c>
      <c r="O4" s="10">
        <v>298.72118870000003</v>
      </c>
      <c r="P4" s="10">
        <v>382.66941809999997</v>
      </c>
      <c r="Q4" s="10">
        <v>341.38475690000001</v>
      </c>
      <c r="R4" s="10">
        <v>202.16566599999999</v>
      </c>
      <c r="S4" s="10">
        <v>306.96349149999998</v>
      </c>
      <c r="T4" s="10">
        <v>365.53275059999999</v>
      </c>
      <c r="U4" s="10">
        <v>267.52671930000002</v>
      </c>
      <c r="V4" s="10">
        <v>397.3919884</v>
      </c>
      <c r="W4" s="10">
        <v>335.18550540000001</v>
      </c>
      <c r="X4" s="10">
        <v>322.58854780000001</v>
      </c>
      <c r="Y4" s="10">
        <v>332.90816810000001</v>
      </c>
      <c r="Z4" s="10">
        <v>332.73022429999997</v>
      </c>
      <c r="AA4" s="10">
        <v>265.96217680000001</v>
      </c>
      <c r="AB4" s="10">
        <v>338.37144489999997</v>
      </c>
      <c r="AC4" s="10">
        <v>385.04024190000001</v>
      </c>
      <c r="AD4" s="10">
        <v>223.53638330000001</v>
      </c>
      <c r="AE4" s="10">
        <v>330.09692849999999</v>
      </c>
      <c r="AF4" s="10">
        <v>399.52038099999999</v>
      </c>
      <c r="AG4" s="10">
        <v>354.7293651</v>
      </c>
      <c r="AH4" s="10">
        <v>323.93095498666656</v>
      </c>
      <c r="AI4" s="10">
        <v>0.6</v>
      </c>
      <c r="AJ4" s="10">
        <v>539.88492497777759</v>
      </c>
      <c r="AK4" s="10">
        <v>5.3988492497777756</v>
      </c>
      <c r="AL4" s="10">
        <v>0.2</v>
      </c>
      <c r="AM4" s="10">
        <v>107.97698499555553</v>
      </c>
      <c r="AN4" s="10" t="s">
        <v>49</v>
      </c>
      <c r="AO4" s="10" t="s">
        <v>50</v>
      </c>
      <c r="AP4" s="10" t="s">
        <v>66</v>
      </c>
      <c r="AQ4" s="10" t="s">
        <v>67</v>
      </c>
      <c r="AR4" s="19">
        <v>0</v>
      </c>
      <c r="AS4" s="10">
        <v>107.97698499555553</v>
      </c>
      <c r="AT4">
        <v>1</v>
      </c>
    </row>
    <row r="5" spans="1:46">
      <c r="A5" s="10">
        <v>1.5</v>
      </c>
      <c r="B5" s="10">
        <v>5400</v>
      </c>
      <c r="C5" s="10">
        <v>180</v>
      </c>
      <c r="D5" s="10">
        <v>267.52456560000002</v>
      </c>
      <c r="E5" s="10">
        <v>247.32395550000001</v>
      </c>
      <c r="F5" s="10">
        <v>197.1410544</v>
      </c>
      <c r="G5" s="10">
        <v>301.4005219</v>
      </c>
      <c r="H5" s="10">
        <v>354.0964803</v>
      </c>
      <c r="I5" s="10">
        <v>285.37788399999999</v>
      </c>
      <c r="J5" s="10">
        <v>300.392607</v>
      </c>
      <c r="K5" s="10">
        <v>347.20015139999998</v>
      </c>
      <c r="L5" s="10">
        <v>355.30568030000001</v>
      </c>
      <c r="M5" s="10">
        <v>268.67860669999999</v>
      </c>
      <c r="N5" s="10">
        <v>318.45393710000002</v>
      </c>
      <c r="O5" s="10">
        <v>328.50644060000002</v>
      </c>
      <c r="P5" s="10">
        <v>343.812882</v>
      </c>
      <c r="Q5" s="10">
        <v>263.96216570000001</v>
      </c>
      <c r="R5" s="10">
        <v>339.62843350000003</v>
      </c>
      <c r="S5" s="10">
        <v>299.12793970000001</v>
      </c>
      <c r="T5" s="10">
        <v>234.27446939999999</v>
      </c>
      <c r="U5" s="10">
        <v>279.7607036</v>
      </c>
      <c r="V5" s="10">
        <v>286.92701749999998</v>
      </c>
      <c r="W5" s="10">
        <v>300.70534780000003</v>
      </c>
      <c r="X5" s="10">
        <v>233.45700930000001</v>
      </c>
      <c r="Y5" s="10">
        <v>300.0274091</v>
      </c>
      <c r="Z5" s="10">
        <v>354.69676479999998</v>
      </c>
      <c r="AA5" s="10">
        <v>217.4575906</v>
      </c>
      <c r="AB5" s="10">
        <v>279.85563789999998</v>
      </c>
      <c r="AC5" s="10">
        <v>180.35870729999999</v>
      </c>
      <c r="AD5" s="10">
        <v>309.82299970000003</v>
      </c>
      <c r="AE5" s="10">
        <v>208.24117860000001</v>
      </c>
      <c r="AF5" s="10">
        <v>271.08072779999998</v>
      </c>
      <c r="AG5" s="10">
        <v>209.15126739999999</v>
      </c>
      <c r="AH5" s="10">
        <v>282.79167121666671</v>
      </c>
      <c r="AI5" s="10">
        <v>0.6</v>
      </c>
      <c r="AJ5" s="10">
        <v>471.31945202777786</v>
      </c>
      <c r="AK5" s="10">
        <v>4.7131945202777787</v>
      </c>
      <c r="AL5" s="10">
        <v>0.2</v>
      </c>
      <c r="AM5" s="10">
        <v>94.263890405555571</v>
      </c>
      <c r="AN5" s="10" t="s">
        <v>49</v>
      </c>
      <c r="AO5" s="10" t="s">
        <v>50</v>
      </c>
      <c r="AP5" s="10" t="s">
        <v>66</v>
      </c>
      <c r="AQ5" s="10" t="s">
        <v>67</v>
      </c>
      <c r="AR5" s="19">
        <v>0</v>
      </c>
      <c r="AS5" s="10">
        <v>94.263890405555571</v>
      </c>
      <c r="AT5">
        <v>1</v>
      </c>
    </row>
    <row r="6" spans="1:46">
      <c r="A6" s="10">
        <v>2</v>
      </c>
      <c r="B6" s="10">
        <v>7200</v>
      </c>
      <c r="C6" s="10">
        <v>150</v>
      </c>
      <c r="D6" s="10">
        <v>207.05693350000001</v>
      </c>
      <c r="E6" s="10">
        <v>176.1479573</v>
      </c>
      <c r="F6" s="10">
        <v>191.41681030000001</v>
      </c>
      <c r="G6" s="10">
        <v>257.81148439999998</v>
      </c>
      <c r="H6" s="10">
        <v>252.59311439999999</v>
      </c>
      <c r="I6" s="10">
        <v>179.4183519</v>
      </c>
      <c r="J6" s="10">
        <v>234.8919511</v>
      </c>
      <c r="K6" s="10">
        <v>264.68048929999998</v>
      </c>
      <c r="L6" s="10">
        <v>186.76560219999999</v>
      </c>
      <c r="M6" s="10">
        <v>193.3405928</v>
      </c>
      <c r="N6" s="10">
        <v>295.31616339999999</v>
      </c>
      <c r="O6" s="10">
        <v>193.90425970000001</v>
      </c>
      <c r="P6" s="10">
        <v>211.1596539</v>
      </c>
      <c r="Q6" s="10">
        <v>205.91933370000001</v>
      </c>
      <c r="R6" s="10">
        <v>264.39926550000001</v>
      </c>
      <c r="S6" s="10">
        <v>221.86899840000001</v>
      </c>
      <c r="T6" s="10">
        <v>261.48234730000001</v>
      </c>
      <c r="U6" s="10">
        <v>227.1550962</v>
      </c>
      <c r="V6" s="10">
        <v>167.9284255</v>
      </c>
      <c r="W6" s="10">
        <v>251.7864549</v>
      </c>
      <c r="X6" s="10">
        <v>180.3891419</v>
      </c>
      <c r="Y6" s="10">
        <v>189.8930622</v>
      </c>
      <c r="Z6" s="10">
        <v>157.21210439999999</v>
      </c>
      <c r="AA6" s="10">
        <v>157.76906990000001</v>
      </c>
      <c r="AB6" s="10">
        <v>258.36154579999999</v>
      </c>
      <c r="AC6" s="10">
        <v>152.42845740000001</v>
      </c>
      <c r="AD6" s="10">
        <v>282.7893871</v>
      </c>
      <c r="AE6" s="10">
        <v>202.5314434</v>
      </c>
      <c r="AF6" s="10">
        <v>162.2003321</v>
      </c>
      <c r="AG6" s="10">
        <v>205.26874839999999</v>
      </c>
      <c r="AH6" s="10">
        <v>213.12955261000005</v>
      </c>
      <c r="AI6" s="10">
        <v>0.6</v>
      </c>
      <c r="AJ6" s="10">
        <v>355.21592101666675</v>
      </c>
      <c r="AK6" s="10">
        <v>3.5521592101666677</v>
      </c>
      <c r="AL6" s="10">
        <v>0.2</v>
      </c>
      <c r="AM6" s="10">
        <v>71.043184203333354</v>
      </c>
      <c r="AN6" s="10" t="s">
        <v>49</v>
      </c>
      <c r="AO6" s="10" t="s">
        <v>50</v>
      </c>
      <c r="AP6" s="10" t="s">
        <v>66</v>
      </c>
      <c r="AQ6" s="10" t="s">
        <v>67</v>
      </c>
      <c r="AR6" s="19">
        <v>0</v>
      </c>
      <c r="AS6" s="10">
        <v>71.043184203333354</v>
      </c>
      <c r="AT6">
        <v>1</v>
      </c>
    </row>
    <row r="7" spans="1:46">
      <c r="A7" s="10">
        <v>2.5</v>
      </c>
      <c r="B7" s="10">
        <v>9000</v>
      </c>
      <c r="C7" s="10">
        <v>110</v>
      </c>
      <c r="D7" s="10">
        <v>201.69830260000001</v>
      </c>
      <c r="E7" s="10">
        <v>155.374819</v>
      </c>
      <c r="F7" s="10">
        <v>151.01494890000001</v>
      </c>
      <c r="G7" s="10">
        <v>178.59532390000001</v>
      </c>
      <c r="H7" s="10">
        <v>184.5723496</v>
      </c>
      <c r="I7" s="10">
        <v>202.07799990000001</v>
      </c>
      <c r="J7" s="10">
        <v>148.4295449</v>
      </c>
      <c r="K7" s="10">
        <v>205.67259419999999</v>
      </c>
      <c r="L7" s="10">
        <v>219.96156590000001</v>
      </c>
      <c r="M7" s="10">
        <v>213.69229350000001</v>
      </c>
      <c r="N7" s="10">
        <v>134.0821402</v>
      </c>
      <c r="O7" s="10">
        <v>180.17691540000001</v>
      </c>
      <c r="P7" s="10">
        <v>159.3370961</v>
      </c>
      <c r="Q7" s="10">
        <v>208.62316000000001</v>
      </c>
      <c r="R7" s="10">
        <v>142.87991460000001</v>
      </c>
      <c r="S7" s="10">
        <v>125.2687942</v>
      </c>
      <c r="T7" s="10">
        <v>170.67532739999999</v>
      </c>
      <c r="U7" s="10">
        <v>157.87326569999999</v>
      </c>
      <c r="V7" s="10">
        <v>138.86534660000001</v>
      </c>
      <c r="W7" s="10">
        <v>116.62057900000001</v>
      </c>
      <c r="X7" s="10">
        <v>172.0701674</v>
      </c>
      <c r="Y7" s="10">
        <v>116.91986350000001</v>
      </c>
      <c r="Z7" s="10">
        <v>162.6445052</v>
      </c>
      <c r="AA7" s="10">
        <v>168.7115699</v>
      </c>
      <c r="AB7" s="10">
        <v>122.37811139999999</v>
      </c>
      <c r="AC7" s="10">
        <v>182.8600261</v>
      </c>
      <c r="AD7" s="10">
        <v>156.47700359999999</v>
      </c>
      <c r="AE7" s="10">
        <v>144.38841149999999</v>
      </c>
      <c r="AF7" s="10">
        <v>121.8389488</v>
      </c>
      <c r="AG7" s="10">
        <v>172.7857114</v>
      </c>
      <c r="AH7" s="10">
        <v>163.88555334666668</v>
      </c>
      <c r="AI7" s="10">
        <v>0.6</v>
      </c>
      <c r="AJ7" s="10">
        <v>273.14258891111115</v>
      </c>
      <c r="AK7" s="10">
        <v>2.7314258891111116</v>
      </c>
      <c r="AL7" s="10">
        <v>0.2</v>
      </c>
      <c r="AM7" s="10">
        <v>54.628517782222232</v>
      </c>
      <c r="AN7" s="10" t="s">
        <v>49</v>
      </c>
      <c r="AO7" s="10" t="s">
        <v>50</v>
      </c>
      <c r="AP7" s="10" t="s">
        <v>66</v>
      </c>
      <c r="AQ7" s="10" t="s">
        <v>67</v>
      </c>
      <c r="AR7" s="19">
        <v>0</v>
      </c>
      <c r="AS7" s="10">
        <v>54.628517782222232</v>
      </c>
      <c r="AT7">
        <v>1</v>
      </c>
    </row>
    <row r="8" spans="1:46">
      <c r="A8" s="10">
        <v>3</v>
      </c>
      <c r="B8" s="10">
        <v>10800</v>
      </c>
      <c r="C8" s="10">
        <v>90</v>
      </c>
      <c r="D8" s="10">
        <v>168.62678700000001</v>
      </c>
      <c r="E8" s="10">
        <v>149.25085110000001</v>
      </c>
      <c r="F8" s="10">
        <v>151.32308359999999</v>
      </c>
      <c r="G8" s="10">
        <v>107.5126324</v>
      </c>
      <c r="H8" s="10">
        <v>161.1267172</v>
      </c>
      <c r="I8" s="10">
        <v>144.1699897</v>
      </c>
      <c r="J8" s="10">
        <v>155.0174767</v>
      </c>
      <c r="K8" s="10">
        <v>178.21309049999999</v>
      </c>
      <c r="L8" s="10">
        <v>154.41680690000001</v>
      </c>
      <c r="M8" s="10">
        <v>177.05702740000001</v>
      </c>
      <c r="N8" s="10">
        <v>163.76595130000001</v>
      </c>
      <c r="O8" s="10">
        <v>115.63206390000001</v>
      </c>
      <c r="P8" s="10">
        <v>140.44368679999999</v>
      </c>
      <c r="Q8" s="10">
        <v>141.18064409999999</v>
      </c>
      <c r="R8" s="10">
        <v>110.64175400000001</v>
      </c>
      <c r="S8" s="10">
        <v>143.2943463</v>
      </c>
      <c r="T8" s="10">
        <v>128.3861655</v>
      </c>
      <c r="U8" s="10">
        <v>142.8805773</v>
      </c>
      <c r="V8" s="10">
        <v>155.076808</v>
      </c>
      <c r="W8" s="10">
        <v>166.86053150000001</v>
      </c>
      <c r="X8" s="10">
        <v>140.9571574</v>
      </c>
      <c r="Y8" s="10">
        <v>105.85355850000001</v>
      </c>
      <c r="Z8" s="10">
        <v>114.7119139</v>
      </c>
      <c r="AA8" s="10">
        <v>116.6581321</v>
      </c>
      <c r="AB8" s="10">
        <v>153.39952220000001</v>
      </c>
      <c r="AC8" s="10">
        <v>117.5275091</v>
      </c>
      <c r="AD8" s="10">
        <v>120.27634620000001</v>
      </c>
      <c r="AE8" s="10">
        <v>175.06177210000001</v>
      </c>
      <c r="AF8" s="10">
        <v>136.50185379999999</v>
      </c>
      <c r="AG8" s="10">
        <v>133.38910150000001</v>
      </c>
      <c r="AH8" s="10">
        <v>142.3071286</v>
      </c>
      <c r="AI8" s="10">
        <v>0.6</v>
      </c>
      <c r="AJ8" s="10">
        <v>237.17854766666667</v>
      </c>
      <c r="AK8" s="10">
        <v>2.3717854766666666</v>
      </c>
      <c r="AL8" s="10">
        <v>0.2</v>
      </c>
      <c r="AM8" s="10">
        <v>47.435709533333338</v>
      </c>
      <c r="AN8" s="10" t="s">
        <v>49</v>
      </c>
      <c r="AO8" s="10" t="s">
        <v>50</v>
      </c>
      <c r="AP8" s="10" t="s">
        <v>66</v>
      </c>
      <c r="AQ8" s="10" t="s">
        <v>67</v>
      </c>
      <c r="AR8" s="19">
        <v>0</v>
      </c>
      <c r="AS8" s="10">
        <v>47.435709533333338</v>
      </c>
      <c r="AT8">
        <v>1</v>
      </c>
    </row>
    <row r="9" spans="1:46">
      <c r="A9" s="10">
        <v>3.5</v>
      </c>
      <c r="B9" s="10">
        <v>12600</v>
      </c>
      <c r="C9" s="10">
        <v>80</v>
      </c>
      <c r="D9" s="10">
        <v>140.7448096</v>
      </c>
      <c r="E9" s="10">
        <v>112.2860033</v>
      </c>
      <c r="F9" s="10">
        <v>134.08920879999999</v>
      </c>
      <c r="G9" s="10">
        <v>84.788541780000003</v>
      </c>
      <c r="H9" s="10">
        <v>146.43615370000001</v>
      </c>
      <c r="I9" s="10">
        <v>132.5596176</v>
      </c>
      <c r="J9" s="10">
        <v>128.12433709999999</v>
      </c>
      <c r="K9" s="10">
        <v>134.91612570000001</v>
      </c>
      <c r="L9" s="10">
        <v>92.036640509999998</v>
      </c>
      <c r="M9" s="10">
        <v>141.70401380000001</v>
      </c>
      <c r="N9" s="10">
        <v>117.2098448</v>
      </c>
      <c r="O9" s="10">
        <v>116.2358368</v>
      </c>
      <c r="P9" s="10">
        <v>122.4154777</v>
      </c>
      <c r="Q9" s="10">
        <v>99.026058160000005</v>
      </c>
      <c r="R9" s="10">
        <v>158.0629836</v>
      </c>
      <c r="S9" s="10">
        <v>118.22665069999999</v>
      </c>
      <c r="T9" s="10">
        <v>102.05925209999999</v>
      </c>
      <c r="U9" s="10">
        <v>111.5116797</v>
      </c>
      <c r="V9" s="10">
        <v>101.663836</v>
      </c>
      <c r="W9" s="10">
        <v>156.5410306</v>
      </c>
      <c r="X9" s="10">
        <v>136.16475969999999</v>
      </c>
      <c r="Y9" s="10">
        <v>138.34359430000001</v>
      </c>
      <c r="Z9" s="10">
        <v>119.01408790000001</v>
      </c>
      <c r="AA9" s="10">
        <v>93.483725949999993</v>
      </c>
      <c r="AB9" s="10">
        <v>134.4269635</v>
      </c>
      <c r="AC9" s="10">
        <v>97.600397779999994</v>
      </c>
      <c r="AD9" s="10">
        <v>97.912864220000003</v>
      </c>
      <c r="AE9" s="10">
        <v>111.39849150000001</v>
      </c>
      <c r="AF9" s="10">
        <v>88.595137660000006</v>
      </c>
      <c r="AG9" s="10">
        <v>124.5085689</v>
      </c>
      <c r="AH9" s="10">
        <v>119.73622311533336</v>
      </c>
      <c r="AI9" s="10">
        <v>0.6</v>
      </c>
      <c r="AJ9" s="10">
        <v>199.56037185888894</v>
      </c>
      <c r="AK9" s="10">
        <v>1.9956037185888895</v>
      </c>
      <c r="AL9" s="10">
        <v>0.2</v>
      </c>
      <c r="AM9" s="10">
        <v>39.912074371777791</v>
      </c>
      <c r="AN9" s="10" t="s">
        <v>49</v>
      </c>
      <c r="AO9" s="10" t="s">
        <v>50</v>
      </c>
      <c r="AP9" s="10" t="s">
        <v>66</v>
      </c>
      <c r="AQ9" s="10" t="s">
        <v>67</v>
      </c>
      <c r="AR9" s="19">
        <v>0</v>
      </c>
      <c r="AS9" s="10">
        <v>39.912074371777791</v>
      </c>
      <c r="AT9">
        <v>1</v>
      </c>
    </row>
    <row r="10" spans="1:46">
      <c r="A10" s="10">
        <v>4</v>
      </c>
      <c r="B10" s="10">
        <v>14400</v>
      </c>
      <c r="C10" s="10">
        <v>70</v>
      </c>
      <c r="D10" s="10">
        <v>110.3871218</v>
      </c>
      <c r="E10" s="10">
        <v>95.885168849999999</v>
      </c>
      <c r="F10" s="10">
        <v>70.544708020000002</v>
      </c>
      <c r="G10" s="10">
        <v>133.92592769999999</v>
      </c>
      <c r="H10" s="10">
        <v>94.627138430000002</v>
      </c>
      <c r="I10" s="10">
        <v>127.8662176</v>
      </c>
      <c r="J10" s="10">
        <v>75.073742339999995</v>
      </c>
      <c r="K10" s="10">
        <v>119.20109239999999</v>
      </c>
      <c r="L10" s="10">
        <v>121.1285737</v>
      </c>
      <c r="M10" s="10">
        <v>85.251089949999994</v>
      </c>
      <c r="N10" s="10">
        <v>132.42067840000001</v>
      </c>
      <c r="O10" s="10">
        <v>109.9139392</v>
      </c>
      <c r="P10" s="10">
        <v>87.916498570000002</v>
      </c>
      <c r="Q10" s="10">
        <v>95.908467389999998</v>
      </c>
      <c r="R10" s="10">
        <v>124.54015440000001</v>
      </c>
      <c r="S10" s="10">
        <v>99.715062369999998</v>
      </c>
      <c r="T10" s="10">
        <v>119.81704670000001</v>
      </c>
      <c r="U10" s="10">
        <v>138.21344959999999</v>
      </c>
      <c r="V10" s="10">
        <v>137.57214629999999</v>
      </c>
      <c r="W10" s="10">
        <v>132.54836649999999</v>
      </c>
      <c r="X10" s="10">
        <v>132.9986672</v>
      </c>
      <c r="Y10" s="10">
        <v>91.813533930000006</v>
      </c>
      <c r="Z10" s="10">
        <v>129.98452399999999</v>
      </c>
      <c r="AA10" s="10">
        <v>91.792063600000006</v>
      </c>
      <c r="AB10" s="10">
        <v>110.12373049999999</v>
      </c>
      <c r="AC10" s="10">
        <v>119.99287390000001</v>
      </c>
      <c r="AD10" s="10">
        <v>81.932791330000001</v>
      </c>
      <c r="AE10" s="10">
        <v>92.392198230000005</v>
      </c>
      <c r="AF10" s="10">
        <v>121.59273020000001</v>
      </c>
      <c r="AG10" s="10">
        <v>102.1710006</v>
      </c>
      <c r="AH10" s="10">
        <v>109.57502345699999</v>
      </c>
      <c r="AI10" s="10">
        <v>0.6</v>
      </c>
      <c r="AJ10" s="10">
        <v>182.62503909499998</v>
      </c>
      <c r="AK10" s="10">
        <v>1.8262503909499999</v>
      </c>
      <c r="AL10" s="10">
        <v>0.2</v>
      </c>
      <c r="AM10" s="10">
        <v>36.525007818999995</v>
      </c>
      <c r="AN10" s="10" t="s">
        <v>49</v>
      </c>
      <c r="AO10" s="10" t="s">
        <v>50</v>
      </c>
      <c r="AP10" s="10" t="s">
        <v>66</v>
      </c>
      <c r="AQ10" s="10" t="s">
        <v>67</v>
      </c>
      <c r="AR10" s="19">
        <v>0</v>
      </c>
      <c r="AS10" s="10">
        <v>36.525007818999995</v>
      </c>
      <c r="AT10">
        <v>1</v>
      </c>
    </row>
    <row r="11" spans="1:46">
      <c r="A11" s="10">
        <v>4.5</v>
      </c>
      <c r="B11" s="10">
        <v>16200</v>
      </c>
      <c r="C11" s="10">
        <v>60</v>
      </c>
      <c r="D11" s="10">
        <v>115.1577656</v>
      </c>
      <c r="E11" s="10">
        <v>67.63471079</v>
      </c>
      <c r="F11" s="10">
        <v>104.63863910000001</v>
      </c>
      <c r="G11" s="10">
        <v>82.959760590000002</v>
      </c>
      <c r="H11" s="10">
        <v>97.127153860000007</v>
      </c>
      <c r="I11" s="10">
        <v>117.14911429999999</v>
      </c>
      <c r="J11" s="10">
        <v>69.880666649999995</v>
      </c>
      <c r="K11" s="10">
        <v>72.817409850000004</v>
      </c>
      <c r="L11" s="10">
        <v>101.1198761</v>
      </c>
      <c r="M11" s="10">
        <v>86.478818959999998</v>
      </c>
      <c r="N11" s="10">
        <v>90.31653249</v>
      </c>
      <c r="O11" s="10">
        <v>69.698691240000002</v>
      </c>
      <c r="P11" s="10">
        <v>73.483180079999997</v>
      </c>
      <c r="Q11" s="10">
        <v>90.005591370000005</v>
      </c>
      <c r="R11" s="10">
        <v>99.079416039999998</v>
      </c>
      <c r="S11" s="10">
        <v>60.02822759</v>
      </c>
      <c r="T11" s="10">
        <v>61.776591089999997</v>
      </c>
      <c r="U11" s="10">
        <v>119.58337520000001</v>
      </c>
      <c r="V11" s="10">
        <v>77.084607239999997</v>
      </c>
      <c r="W11" s="10">
        <v>80.184106749999998</v>
      </c>
      <c r="X11" s="10">
        <v>83.174866710000003</v>
      </c>
      <c r="Y11" s="10">
        <v>106.61523990000001</v>
      </c>
      <c r="Z11" s="10">
        <v>74.998935279999998</v>
      </c>
      <c r="AA11" s="10">
        <v>118.1986361</v>
      </c>
      <c r="AB11" s="10">
        <v>83.844962749999993</v>
      </c>
      <c r="AC11" s="10">
        <v>80.276463730000003</v>
      </c>
      <c r="AD11" s="10">
        <v>106.9622289</v>
      </c>
      <c r="AE11" s="10">
        <v>90.803629839999999</v>
      </c>
      <c r="AF11" s="10">
        <v>99.76344856</v>
      </c>
      <c r="AG11" s="10">
        <v>87.971978410000006</v>
      </c>
      <c r="AH11" s="10">
        <v>88.960487502333336</v>
      </c>
      <c r="AI11" s="10">
        <v>0.6</v>
      </c>
      <c r="AJ11" s="10">
        <v>148.26747917055556</v>
      </c>
      <c r="AK11" s="10">
        <v>1.4826747917055556</v>
      </c>
      <c r="AL11" s="10">
        <v>0.2</v>
      </c>
      <c r="AM11" s="10">
        <v>29.653495834111112</v>
      </c>
      <c r="AN11" s="10" t="s">
        <v>49</v>
      </c>
      <c r="AO11" s="10" t="s">
        <v>50</v>
      </c>
      <c r="AP11" s="10" t="s">
        <v>66</v>
      </c>
      <c r="AQ11" s="10" t="s">
        <v>67</v>
      </c>
      <c r="AR11" s="19">
        <v>0</v>
      </c>
      <c r="AS11" s="10">
        <v>29.653495834111112</v>
      </c>
      <c r="AT11">
        <v>1</v>
      </c>
    </row>
    <row r="12" spans="1:46">
      <c r="A12" s="10">
        <v>5</v>
      </c>
      <c r="B12" s="10">
        <v>18000</v>
      </c>
      <c r="C12" s="10">
        <v>20</v>
      </c>
      <c r="D12" s="10">
        <v>36.86861854</v>
      </c>
      <c r="E12" s="10">
        <v>28.837476980000002</v>
      </c>
      <c r="F12" s="10">
        <v>27.497687299999999</v>
      </c>
      <c r="G12" s="10">
        <v>22.09821814</v>
      </c>
      <c r="H12" s="10">
        <v>36.862816690000002</v>
      </c>
      <c r="I12" s="10">
        <v>27.114319330000001</v>
      </c>
      <c r="J12" s="10">
        <v>38.233669749999997</v>
      </c>
      <c r="K12" s="10">
        <v>35.605481019999999</v>
      </c>
      <c r="L12" s="10">
        <v>39.848205049999997</v>
      </c>
      <c r="M12" s="10">
        <v>27.62550946</v>
      </c>
      <c r="N12" s="10">
        <v>36.974355199999998</v>
      </c>
      <c r="O12" s="10">
        <v>32.58473901</v>
      </c>
      <c r="P12" s="10">
        <v>23.749677599999998</v>
      </c>
      <c r="Q12" s="10">
        <v>29.779493729999999</v>
      </c>
      <c r="R12" s="10">
        <v>28.187759830000001</v>
      </c>
      <c r="S12" s="10">
        <v>27.729349110000001</v>
      </c>
      <c r="T12" s="10">
        <v>24.737477009999999</v>
      </c>
      <c r="U12" s="10">
        <v>29.988940960000001</v>
      </c>
      <c r="V12" s="10">
        <v>20.582984</v>
      </c>
      <c r="W12" s="10">
        <v>34.165507300000002</v>
      </c>
      <c r="X12" s="10">
        <v>35.065288950000003</v>
      </c>
      <c r="Y12" s="10">
        <v>28.694640079999999</v>
      </c>
      <c r="Z12" s="10">
        <v>32.859631630000003</v>
      </c>
      <c r="AA12" s="10">
        <v>20.76482764</v>
      </c>
      <c r="AB12" s="10">
        <v>25.251156210000001</v>
      </c>
      <c r="AC12" s="10">
        <v>35.179576849999997</v>
      </c>
      <c r="AD12" s="10">
        <v>29.24693688</v>
      </c>
      <c r="AE12" s="10">
        <v>25.18711914</v>
      </c>
      <c r="AF12" s="10">
        <v>37.246396599999997</v>
      </c>
      <c r="AG12" s="10">
        <v>30.359277209999998</v>
      </c>
      <c r="AH12" s="10">
        <v>30.29757124</v>
      </c>
      <c r="AI12" s="10">
        <v>0.6</v>
      </c>
      <c r="AJ12" s="10">
        <v>50.495952066666668</v>
      </c>
      <c r="AK12" s="10">
        <v>0.50495952066666672</v>
      </c>
      <c r="AL12" s="10">
        <v>0.2</v>
      </c>
      <c r="AM12" s="10">
        <v>10.099190413333334</v>
      </c>
      <c r="AN12" s="10" t="s">
        <v>49</v>
      </c>
      <c r="AO12" s="10" t="s">
        <v>50</v>
      </c>
      <c r="AP12" s="10" t="s">
        <v>66</v>
      </c>
      <c r="AQ12" s="10" t="s">
        <v>67</v>
      </c>
      <c r="AR12" s="19">
        <v>0</v>
      </c>
      <c r="AS12" s="10">
        <v>10.099190413333334</v>
      </c>
      <c r="AT12">
        <v>1</v>
      </c>
    </row>
    <row r="13" spans="1:46">
      <c r="A13" s="10">
        <v>5.5</v>
      </c>
      <c r="B13" s="10">
        <v>19800</v>
      </c>
      <c r="C13" s="10">
        <v>20</v>
      </c>
      <c r="D13" s="10">
        <v>22.426306440000001</v>
      </c>
      <c r="E13" s="10">
        <v>20.058743360000001</v>
      </c>
      <c r="F13" s="10">
        <v>38.914116180000001</v>
      </c>
      <c r="G13" s="10">
        <v>31.596102999999999</v>
      </c>
      <c r="H13" s="10">
        <v>35.449931360000001</v>
      </c>
      <c r="I13" s="10">
        <v>36.23679096</v>
      </c>
      <c r="J13" s="10">
        <v>30.193757909999999</v>
      </c>
      <c r="K13" s="10">
        <v>36.546956219999998</v>
      </c>
      <c r="L13" s="10">
        <v>37.084040909999999</v>
      </c>
      <c r="M13" s="10">
        <v>32.495296949999997</v>
      </c>
      <c r="N13" s="10">
        <v>28.579381219999998</v>
      </c>
      <c r="O13" s="10">
        <v>24.805185389999998</v>
      </c>
      <c r="P13" s="10">
        <v>33.66634964</v>
      </c>
      <c r="Q13" s="10">
        <v>21.814944730000001</v>
      </c>
      <c r="R13" s="10">
        <v>23.005118979999999</v>
      </c>
      <c r="S13" s="10">
        <v>33.004704840000002</v>
      </c>
      <c r="T13" s="10">
        <v>35.214980709999999</v>
      </c>
      <c r="U13" s="10">
        <v>34.612831139999997</v>
      </c>
      <c r="V13" s="10">
        <v>22.61721713</v>
      </c>
      <c r="W13" s="10">
        <v>38.229692900000003</v>
      </c>
      <c r="X13" s="10">
        <v>36.933614830000003</v>
      </c>
      <c r="Y13" s="10">
        <v>38.251262920000002</v>
      </c>
      <c r="Z13" s="10">
        <v>23.683784540000001</v>
      </c>
      <c r="AA13" s="10">
        <v>32.378140119999998</v>
      </c>
      <c r="AB13" s="10">
        <v>24.944390970000001</v>
      </c>
      <c r="AC13" s="10">
        <v>39.17521378</v>
      </c>
      <c r="AD13" s="10">
        <v>29.860220479999999</v>
      </c>
      <c r="AE13" s="10">
        <v>27.275825749999999</v>
      </c>
      <c r="AF13" s="10">
        <v>23.649286870000001</v>
      </c>
      <c r="AG13" s="10">
        <v>39.150762129999997</v>
      </c>
      <c r="AH13" s="10">
        <v>31.061831745333333</v>
      </c>
      <c r="AI13" s="10">
        <v>0.6</v>
      </c>
      <c r="AJ13" s="10">
        <v>51.769719575555555</v>
      </c>
      <c r="AK13" s="10">
        <v>0.51769719575555551</v>
      </c>
      <c r="AL13" s="10">
        <v>0.2</v>
      </c>
      <c r="AM13" s="10">
        <v>10.353943915111111</v>
      </c>
      <c r="AN13" s="10" t="s">
        <v>49</v>
      </c>
      <c r="AO13" s="10" t="s">
        <v>50</v>
      </c>
      <c r="AP13" s="10" t="s">
        <v>66</v>
      </c>
      <c r="AQ13" s="10" t="s">
        <v>67</v>
      </c>
      <c r="AR13" s="19">
        <v>0</v>
      </c>
      <c r="AS13" s="10">
        <v>10.353943915111111</v>
      </c>
      <c r="AT13">
        <v>1</v>
      </c>
    </row>
    <row r="14" spans="1:46">
      <c r="A14" s="10">
        <v>6</v>
      </c>
      <c r="B14" s="10">
        <v>21600</v>
      </c>
      <c r="C14" s="10">
        <v>50</v>
      </c>
      <c r="D14" s="10">
        <v>99.291392740000006</v>
      </c>
      <c r="E14" s="10">
        <v>92.674196069999994</v>
      </c>
      <c r="F14" s="10">
        <v>99.357485650000001</v>
      </c>
      <c r="G14" s="10">
        <v>86.097518820000005</v>
      </c>
      <c r="H14" s="10">
        <v>50.568080180000003</v>
      </c>
      <c r="I14" s="10">
        <v>51.539861039999998</v>
      </c>
      <c r="J14" s="10">
        <v>82.393377340000001</v>
      </c>
      <c r="K14" s="10">
        <v>75.615042470000006</v>
      </c>
      <c r="L14" s="10">
        <v>77.687880160000006</v>
      </c>
      <c r="M14" s="10">
        <v>80.569682569999998</v>
      </c>
      <c r="N14" s="10">
        <v>70.560582839999995</v>
      </c>
      <c r="O14" s="10">
        <v>73.775946570000002</v>
      </c>
      <c r="P14" s="10">
        <v>54.891849739999998</v>
      </c>
      <c r="Q14" s="10">
        <v>67.443054180000004</v>
      </c>
      <c r="R14" s="10">
        <v>95.044653409999995</v>
      </c>
      <c r="S14" s="10">
        <v>70.822205670000002</v>
      </c>
      <c r="T14" s="10">
        <v>65.075302179999994</v>
      </c>
      <c r="U14" s="10">
        <v>82.749098349999997</v>
      </c>
      <c r="V14" s="10">
        <v>79.774196989999993</v>
      </c>
      <c r="W14" s="10">
        <v>87.337944039999996</v>
      </c>
      <c r="X14" s="10">
        <v>88.153288869999997</v>
      </c>
      <c r="Y14" s="10">
        <v>58.008546189999997</v>
      </c>
      <c r="Z14" s="10">
        <v>88.558215090000004</v>
      </c>
      <c r="AA14" s="10">
        <v>64.930344349999999</v>
      </c>
      <c r="AB14" s="10">
        <v>62.348992090000003</v>
      </c>
      <c r="AC14" s="10">
        <v>91.933989030000006</v>
      </c>
      <c r="AD14" s="10">
        <v>63.042912020000003</v>
      </c>
      <c r="AE14" s="10">
        <v>91.737858099999997</v>
      </c>
      <c r="AF14" s="10">
        <v>79.747037199999994</v>
      </c>
      <c r="AG14" s="10">
        <v>84.886505839999998</v>
      </c>
      <c r="AH14" s="10">
        <v>77.220567992999989</v>
      </c>
      <c r="AI14" s="10">
        <v>0.6</v>
      </c>
      <c r="AJ14" s="10">
        <v>128.700946655</v>
      </c>
      <c r="AK14" s="10">
        <v>1.28700946655</v>
      </c>
      <c r="AL14" s="10">
        <v>0.2</v>
      </c>
      <c r="AM14" s="10">
        <v>25.740189331</v>
      </c>
      <c r="AN14" s="10" t="s">
        <v>49</v>
      </c>
      <c r="AO14" s="10" t="s">
        <v>50</v>
      </c>
      <c r="AP14" s="10" t="s">
        <v>66</v>
      </c>
      <c r="AQ14" s="10" t="s">
        <v>67</v>
      </c>
      <c r="AR14" s="19">
        <v>0</v>
      </c>
      <c r="AS14" s="10">
        <v>25.740189331</v>
      </c>
      <c r="AT14">
        <v>1</v>
      </c>
    </row>
    <row r="15" spans="1:46">
      <c r="A15" s="10">
        <v>6.5</v>
      </c>
      <c r="B15" s="10">
        <v>23400</v>
      </c>
      <c r="C15" s="10">
        <v>30</v>
      </c>
      <c r="D15" s="10">
        <v>41.747224330000002</v>
      </c>
      <c r="E15" s="10">
        <v>55.494396620000003</v>
      </c>
      <c r="F15" s="10">
        <v>38.453664809999999</v>
      </c>
      <c r="G15" s="10">
        <v>45.738916439999997</v>
      </c>
      <c r="H15" s="10">
        <v>30.5828013</v>
      </c>
      <c r="I15" s="10">
        <v>41.865459680000001</v>
      </c>
      <c r="J15" s="10">
        <v>37.738257750000002</v>
      </c>
      <c r="K15" s="10">
        <v>45.03660936</v>
      </c>
      <c r="L15" s="10">
        <v>53.387836450000002</v>
      </c>
      <c r="M15" s="10">
        <v>45.822182859999998</v>
      </c>
      <c r="N15" s="10">
        <v>49.095806510000003</v>
      </c>
      <c r="O15" s="10">
        <v>40.417155229999999</v>
      </c>
      <c r="P15" s="10">
        <v>42.159743259999999</v>
      </c>
      <c r="Q15" s="10">
        <v>53.577480289999997</v>
      </c>
      <c r="R15" s="10">
        <v>38.88257145</v>
      </c>
      <c r="S15" s="10">
        <v>56.345921179999998</v>
      </c>
      <c r="T15" s="10">
        <v>39.142530229999998</v>
      </c>
      <c r="U15" s="10">
        <v>34.748523300000002</v>
      </c>
      <c r="V15" s="10">
        <v>40.733513739999999</v>
      </c>
      <c r="W15" s="10">
        <v>43.48069066</v>
      </c>
      <c r="X15" s="10">
        <v>46.017906519999997</v>
      </c>
      <c r="Y15" s="10">
        <v>41.017989139999997</v>
      </c>
      <c r="Z15" s="10">
        <v>47.089481980000002</v>
      </c>
      <c r="AA15" s="10">
        <v>33.456095570000002</v>
      </c>
      <c r="AB15" s="10">
        <v>50.694798480000003</v>
      </c>
      <c r="AC15" s="10">
        <v>49.481208719999998</v>
      </c>
      <c r="AD15" s="10">
        <v>54.984727720000002</v>
      </c>
      <c r="AE15" s="10">
        <v>31.56889005</v>
      </c>
      <c r="AF15" s="10">
        <v>57.94883677</v>
      </c>
      <c r="AG15" s="10">
        <v>57.874814399999998</v>
      </c>
      <c r="AH15" s="10">
        <v>44.819534493333336</v>
      </c>
      <c r="AI15" s="10">
        <v>0.6</v>
      </c>
      <c r="AJ15" s="10">
        <v>74.699224155555569</v>
      </c>
      <c r="AK15" s="10">
        <v>0.74699224155555566</v>
      </c>
      <c r="AL15" s="10">
        <v>0.2</v>
      </c>
      <c r="AM15" s="10">
        <v>14.939844831111115</v>
      </c>
      <c r="AN15" s="10" t="s">
        <v>49</v>
      </c>
      <c r="AO15" s="10" t="s">
        <v>50</v>
      </c>
      <c r="AP15" s="10" t="s">
        <v>66</v>
      </c>
      <c r="AQ15" s="10" t="s">
        <v>67</v>
      </c>
      <c r="AR15" s="19">
        <v>0</v>
      </c>
      <c r="AS15" s="10">
        <v>14.939844831111115</v>
      </c>
      <c r="AT15">
        <v>1</v>
      </c>
    </row>
    <row r="16" spans="1:46">
      <c r="A16" s="10">
        <v>7</v>
      </c>
      <c r="B16" s="10">
        <v>25200</v>
      </c>
      <c r="C16" s="10">
        <v>100</v>
      </c>
      <c r="D16" s="10">
        <v>123.719441</v>
      </c>
      <c r="E16" s="10">
        <v>106.03072830000001</v>
      </c>
      <c r="F16" s="10">
        <v>139.6488774</v>
      </c>
      <c r="G16" s="10">
        <v>134.48830319999999</v>
      </c>
      <c r="H16" s="10">
        <v>188.2292076</v>
      </c>
      <c r="I16" s="10">
        <v>190.11456140000001</v>
      </c>
      <c r="J16" s="10">
        <v>134.5733376</v>
      </c>
      <c r="K16" s="10">
        <v>115.9302734</v>
      </c>
      <c r="L16" s="10">
        <v>105.12026210000001</v>
      </c>
      <c r="M16" s="10">
        <v>106.2206518</v>
      </c>
      <c r="N16" s="10">
        <v>182.38658000000001</v>
      </c>
      <c r="O16" s="10">
        <v>190.1243226</v>
      </c>
      <c r="P16" s="10">
        <v>181.62889509999999</v>
      </c>
      <c r="Q16" s="10">
        <v>109.8172995</v>
      </c>
      <c r="R16" s="10">
        <v>117.193804</v>
      </c>
      <c r="S16" s="10">
        <v>104.0554995</v>
      </c>
      <c r="T16" s="10">
        <v>114.7506934</v>
      </c>
      <c r="U16" s="10">
        <v>175.68998590000001</v>
      </c>
      <c r="V16" s="10">
        <v>188.74479650000001</v>
      </c>
      <c r="W16" s="10">
        <v>174.92963449999999</v>
      </c>
      <c r="X16" s="10">
        <v>102.8732284</v>
      </c>
      <c r="Y16" s="10">
        <v>189.9945428</v>
      </c>
      <c r="Z16" s="10">
        <v>171.14884040000001</v>
      </c>
      <c r="AA16" s="10">
        <v>162.30616240000001</v>
      </c>
      <c r="AB16" s="10">
        <v>129.1093363</v>
      </c>
      <c r="AC16" s="10">
        <v>171.95703409999999</v>
      </c>
      <c r="AD16" s="10">
        <v>130.16706959999999</v>
      </c>
      <c r="AE16" s="10">
        <v>165.54678250000001</v>
      </c>
      <c r="AF16" s="10">
        <v>189.06123049999999</v>
      </c>
      <c r="AG16" s="10">
        <v>167.67324009999999</v>
      </c>
      <c r="AH16" s="10">
        <v>148.77448739666667</v>
      </c>
      <c r="AI16" s="10">
        <v>0.6</v>
      </c>
      <c r="AJ16" s="10">
        <v>247.95747899444447</v>
      </c>
      <c r="AK16" s="10">
        <v>2.4795747899444449</v>
      </c>
      <c r="AL16" s="10">
        <v>0.2</v>
      </c>
      <c r="AM16" s="10">
        <v>49.5914957988889</v>
      </c>
      <c r="AN16" s="10" t="s">
        <v>49</v>
      </c>
      <c r="AO16" s="10" t="s">
        <v>50</v>
      </c>
      <c r="AP16" s="10" t="s">
        <v>66</v>
      </c>
      <c r="AQ16" s="10" t="s">
        <v>67</v>
      </c>
      <c r="AR16" s="19">
        <v>0</v>
      </c>
      <c r="AS16" s="10">
        <v>49.5914957988889</v>
      </c>
      <c r="AT16">
        <v>1</v>
      </c>
    </row>
    <row r="17" spans="1:46">
      <c r="A17" s="10">
        <v>7.5</v>
      </c>
      <c r="B17" s="10">
        <v>27000</v>
      </c>
      <c r="C17" s="10">
        <v>120</v>
      </c>
      <c r="D17" s="10">
        <v>155.97281430000001</v>
      </c>
      <c r="E17" s="10">
        <v>198.5775185</v>
      </c>
      <c r="F17" s="10">
        <v>192.2480722</v>
      </c>
      <c r="G17" s="10">
        <v>147.84822679999999</v>
      </c>
      <c r="H17" s="10">
        <v>229.77465319999999</v>
      </c>
      <c r="I17" s="10">
        <v>147.77366309999999</v>
      </c>
      <c r="J17" s="10">
        <v>203.3481773</v>
      </c>
      <c r="K17" s="10">
        <v>150.58520799999999</v>
      </c>
      <c r="L17" s="10">
        <v>151.0705911</v>
      </c>
      <c r="M17" s="10">
        <v>136.41235589999999</v>
      </c>
      <c r="N17" s="10">
        <v>189.43091699999999</v>
      </c>
      <c r="O17" s="10">
        <v>192.89964000000001</v>
      </c>
      <c r="P17" s="10">
        <v>217.73259880000001</v>
      </c>
      <c r="Q17" s="10">
        <v>220.81867449999999</v>
      </c>
      <c r="R17" s="10">
        <v>200.0053255</v>
      </c>
      <c r="S17" s="10">
        <v>152.71173730000001</v>
      </c>
      <c r="T17" s="10">
        <v>125.9420686</v>
      </c>
      <c r="U17" s="10">
        <v>152.28609850000001</v>
      </c>
      <c r="V17" s="10">
        <v>188.5204895</v>
      </c>
      <c r="W17" s="10">
        <v>216.93037899999999</v>
      </c>
      <c r="X17" s="10">
        <v>198.56495090000001</v>
      </c>
      <c r="Y17" s="10">
        <v>172.63569649999999</v>
      </c>
      <c r="Z17" s="10">
        <v>215.44443179999999</v>
      </c>
      <c r="AA17" s="10">
        <v>176.9159932</v>
      </c>
      <c r="AB17" s="10">
        <v>156.73917589999999</v>
      </c>
      <c r="AC17" s="10">
        <v>163.11380819999999</v>
      </c>
      <c r="AD17" s="10">
        <v>201.58447949999999</v>
      </c>
      <c r="AE17" s="10">
        <v>236.5970169</v>
      </c>
      <c r="AF17" s="10">
        <v>192.81585089999999</v>
      </c>
      <c r="AG17" s="10">
        <v>201.55823899999999</v>
      </c>
      <c r="AH17" s="10">
        <v>182.89529506333335</v>
      </c>
      <c r="AI17" s="10">
        <v>0.6</v>
      </c>
      <c r="AJ17" s="10">
        <v>304.82549177222228</v>
      </c>
      <c r="AK17" s="10">
        <v>3.0482549177222227</v>
      </c>
      <c r="AL17" s="10">
        <v>0.2</v>
      </c>
      <c r="AM17" s="10">
        <v>60.965098354444457</v>
      </c>
      <c r="AN17" s="10" t="s">
        <v>49</v>
      </c>
      <c r="AO17" s="10" t="s">
        <v>50</v>
      </c>
      <c r="AP17" s="10" t="s">
        <v>66</v>
      </c>
      <c r="AQ17" s="10" t="s">
        <v>67</v>
      </c>
      <c r="AR17" s="19">
        <v>0</v>
      </c>
      <c r="AS17" s="10">
        <v>60.965098354444457</v>
      </c>
      <c r="AT17">
        <v>1</v>
      </c>
    </row>
    <row r="18" spans="1:46">
      <c r="A18" s="10">
        <v>8</v>
      </c>
      <c r="B18" s="10">
        <v>28800</v>
      </c>
      <c r="C18" s="10">
        <v>130</v>
      </c>
      <c r="D18" s="10">
        <v>176.98553459999999</v>
      </c>
      <c r="E18" s="10">
        <v>194.5066137</v>
      </c>
      <c r="F18" s="10">
        <v>150.7997575</v>
      </c>
      <c r="G18" s="10">
        <v>163.00403539999999</v>
      </c>
      <c r="H18" s="10">
        <v>138.02046300000001</v>
      </c>
      <c r="I18" s="10">
        <v>177.18205459999999</v>
      </c>
      <c r="J18" s="10">
        <v>172.7390824</v>
      </c>
      <c r="K18" s="10">
        <v>245.84812909999999</v>
      </c>
      <c r="L18" s="10">
        <v>170.00798130000001</v>
      </c>
      <c r="M18" s="10">
        <v>164.92961560000001</v>
      </c>
      <c r="N18" s="10">
        <v>258.23537270000003</v>
      </c>
      <c r="O18" s="10">
        <v>212.74431469999999</v>
      </c>
      <c r="P18" s="10">
        <v>252.7881132</v>
      </c>
      <c r="Q18" s="10">
        <v>230.83944550000001</v>
      </c>
      <c r="R18" s="10">
        <v>238.2421319</v>
      </c>
      <c r="S18" s="10">
        <v>235.53094970000001</v>
      </c>
      <c r="T18" s="10">
        <v>255.39532600000001</v>
      </c>
      <c r="U18" s="10">
        <v>164.6520376</v>
      </c>
      <c r="V18" s="10">
        <v>259.3153969</v>
      </c>
      <c r="W18" s="10">
        <v>140.6924918</v>
      </c>
      <c r="X18" s="10">
        <v>134.03434899999999</v>
      </c>
      <c r="Y18" s="10">
        <v>171.35177669999999</v>
      </c>
      <c r="Z18" s="10">
        <v>231.88990010000001</v>
      </c>
      <c r="AA18" s="10">
        <v>248.22104490000001</v>
      </c>
      <c r="AB18" s="10">
        <v>139.79788550000001</v>
      </c>
      <c r="AC18" s="10">
        <v>238.98105799999999</v>
      </c>
      <c r="AD18" s="10">
        <v>202.3773186</v>
      </c>
      <c r="AE18" s="10">
        <v>210.83085030000001</v>
      </c>
      <c r="AF18" s="10">
        <v>229.54216500000001</v>
      </c>
      <c r="AG18" s="10">
        <v>184.0245103</v>
      </c>
      <c r="AH18" s="10">
        <v>199.78365685333333</v>
      </c>
      <c r="AI18" s="10">
        <v>0.6</v>
      </c>
      <c r="AJ18" s="10">
        <v>332.97276142222222</v>
      </c>
      <c r="AK18" s="10">
        <v>3.3297276142222221</v>
      </c>
      <c r="AL18" s="10">
        <v>0.2</v>
      </c>
      <c r="AM18" s="10">
        <v>66.594552284444447</v>
      </c>
      <c r="AN18" s="10" t="s">
        <v>49</v>
      </c>
      <c r="AO18" s="10" t="s">
        <v>50</v>
      </c>
      <c r="AP18" s="10" t="s">
        <v>66</v>
      </c>
      <c r="AQ18" s="10" t="s">
        <v>67</v>
      </c>
      <c r="AR18" s="19">
        <v>0</v>
      </c>
      <c r="AS18" s="10">
        <v>66.594552284444447</v>
      </c>
      <c r="AT18">
        <v>1</v>
      </c>
    </row>
    <row r="19" spans="1:46">
      <c r="A19" s="10">
        <v>8.5</v>
      </c>
      <c r="B19" s="10">
        <v>30600</v>
      </c>
      <c r="C19" s="10">
        <v>140</v>
      </c>
      <c r="D19" s="10">
        <v>226.1909181</v>
      </c>
      <c r="E19" s="10">
        <v>167.82751519999999</v>
      </c>
      <c r="F19" s="10">
        <v>249.5114074</v>
      </c>
      <c r="G19" s="10">
        <v>193.60266780000001</v>
      </c>
      <c r="H19" s="10">
        <v>216.26012009999999</v>
      </c>
      <c r="I19" s="10">
        <v>270.30425000000002</v>
      </c>
      <c r="J19" s="10">
        <v>187.63128990000001</v>
      </c>
      <c r="K19" s="10">
        <v>168.8098281</v>
      </c>
      <c r="L19" s="10">
        <v>213.61044079999999</v>
      </c>
      <c r="M19" s="10">
        <v>160.75769750000001</v>
      </c>
      <c r="N19" s="10">
        <v>173.51812190000001</v>
      </c>
      <c r="O19" s="10">
        <v>222.47402980000001</v>
      </c>
      <c r="P19" s="10">
        <v>229.51339369999999</v>
      </c>
      <c r="Q19" s="10">
        <v>261.80107170000002</v>
      </c>
      <c r="R19" s="10">
        <v>144.92706419999999</v>
      </c>
      <c r="S19" s="10">
        <v>161.4187609</v>
      </c>
      <c r="T19" s="10">
        <v>165.26117980000001</v>
      </c>
      <c r="U19" s="10">
        <v>196.5040315</v>
      </c>
      <c r="V19" s="10">
        <v>200.22634669999999</v>
      </c>
      <c r="W19" s="10">
        <v>178.20053960000001</v>
      </c>
      <c r="X19" s="10">
        <v>228.6304945</v>
      </c>
      <c r="Y19" s="10">
        <v>206.24992460000001</v>
      </c>
      <c r="Z19" s="10">
        <v>228.64020450000001</v>
      </c>
      <c r="AA19" s="10">
        <v>214.5108128</v>
      </c>
      <c r="AB19" s="10">
        <v>268.64264700000001</v>
      </c>
      <c r="AC19" s="10">
        <v>277.01913930000001</v>
      </c>
      <c r="AD19" s="10">
        <v>171.7869666</v>
      </c>
      <c r="AE19" s="10">
        <v>202.7694491</v>
      </c>
      <c r="AF19" s="10">
        <v>214.2550301</v>
      </c>
      <c r="AG19" s="10">
        <v>244.5770574</v>
      </c>
      <c r="AH19" s="10">
        <v>208.18108002000002</v>
      </c>
      <c r="AI19" s="10">
        <v>0.6</v>
      </c>
      <c r="AJ19" s="10">
        <v>346.96846670000008</v>
      </c>
      <c r="AK19" s="10">
        <v>3.469684667000001</v>
      </c>
      <c r="AL19" s="10">
        <v>0.2</v>
      </c>
      <c r="AM19" s="10">
        <v>69.393693340000013</v>
      </c>
      <c r="AN19" s="19" t="s">
        <v>49</v>
      </c>
      <c r="AO19" s="10" t="s">
        <v>50</v>
      </c>
      <c r="AP19" s="10" t="s">
        <v>66</v>
      </c>
      <c r="AQ19" s="10" t="s">
        <v>67</v>
      </c>
      <c r="AR19" s="19">
        <v>0</v>
      </c>
      <c r="AS19" s="10">
        <v>69.393693340000013</v>
      </c>
      <c r="AT19">
        <v>1</v>
      </c>
    </row>
    <row r="20" spans="1:46">
      <c r="A20" s="10">
        <v>9</v>
      </c>
      <c r="B20" s="10">
        <v>32400</v>
      </c>
      <c r="C20" s="10">
        <v>150</v>
      </c>
      <c r="D20" s="10">
        <v>158.55298730000001</v>
      </c>
      <c r="E20" s="10">
        <v>169.19470079999999</v>
      </c>
      <c r="F20" s="10">
        <v>231.10504660000001</v>
      </c>
      <c r="G20" s="10">
        <v>205.43975979999999</v>
      </c>
      <c r="H20" s="10">
        <v>280.87504289999998</v>
      </c>
      <c r="I20" s="10">
        <v>227.07363720000001</v>
      </c>
      <c r="J20" s="10">
        <v>283.5707185</v>
      </c>
      <c r="K20" s="10">
        <v>211.3829503</v>
      </c>
      <c r="L20" s="10">
        <v>268.8643596</v>
      </c>
      <c r="M20" s="10">
        <v>212.71328370000001</v>
      </c>
      <c r="N20" s="10">
        <v>174.26312970000001</v>
      </c>
      <c r="O20" s="10">
        <v>221.20286630000001</v>
      </c>
      <c r="P20" s="10">
        <v>204.52105159999999</v>
      </c>
      <c r="Q20" s="10">
        <v>254.0481437</v>
      </c>
      <c r="R20" s="10">
        <v>293.52375119999999</v>
      </c>
      <c r="S20" s="10">
        <v>180.29239200000001</v>
      </c>
      <c r="T20" s="10">
        <v>231.55143820000001</v>
      </c>
      <c r="U20" s="10">
        <v>232.87331330000001</v>
      </c>
      <c r="V20" s="10">
        <v>208.62241750000001</v>
      </c>
      <c r="W20" s="10">
        <v>217.93232370000001</v>
      </c>
      <c r="X20" s="10">
        <v>162.2172894</v>
      </c>
      <c r="Y20" s="10">
        <v>169.2533157</v>
      </c>
      <c r="Z20" s="10">
        <v>283.43062600000002</v>
      </c>
      <c r="AA20" s="10">
        <v>237.0687216</v>
      </c>
      <c r="AB20" s="10">
        <v>217.99346990000001</v>
      </c>
      <c r="AC20" s="10">
        <v>292.0354322</v>
      </c>
      <c r="AD20" s="10">
        <v>222.1330974</v>
      </c>
      <c r="AE20" s="10">
        <v>226.2920019</v>
      </c>
      <c r="AF20" s="10">
        <v>265.65934399999998</v>
      </c>
      <c r="AG20" s="10">
        <v>218.93518230000001</v>
      </c>
      <c r="AH20" s="10">
        <v>225.4207264766666</v>
      </c>
      <c r="AI20" s="10">
        <v>0.6</v>
      </c>
      <c r="AJ20" s="10">
        <v>375.70121079444436</v>
      </c>
      <c r="AK20" s="10">
        <v>3.7570121079444436</v>
      </c>
      <c r="AL20" s="10">
        <v>0.2</v>
      </c>
      <c r="AM20" s="10">
        <v>75.140242158888881</v>
      </c>
      <c r="AN20" s="19" t="s">
        <v>51</v>
      </c>
      <c r="AO20" s="19" t="s">
        <v>52</v>
      </c>
      <c r="AP20" s="10" t="s">
        <v>67</v>
      </c>
      <c r="AQ20" s="10" t="s">
        <v>66</v>
      </c>
      <c r="AR20" s="19">
        <v>75.140242158888881</v>
      </c>
      <c r="AS20" s="10">
        <v>0</v>
      </c>
      <c r="AT20">
        <v>0</v>
      </c>
    </row>
    <row r="21" spans="1:46">
      <c r="A21" s="10">
        <v>9.5</v>
      </c>
      <c r="B21" s="10">
        <v>34200</v>
      </c>
      <c r="C21" s="10">
        <v>160</v>
      </c>
      <c r="D21" s="10">
        <v>312.42828780000002</v>
      </c>
      <c r="E21" s="10">
        <v>317.43351569999999</v>
      </c>
      <c r="F21" s="10">
        <v>243.5961891</v>
      </c>
      <c r="G21" s="10">
        <v>307.07498020000003</v>
      </c>
      <c r="H21" s="10">
        <v>286.68903519999998</v>
      </c>
      <c r="I21" s="10">
        <v>163.9022736</v>
      </c>
      <c r="J21" s="10">
        <v>317.59106750000001</v>
      </c>
      <c r="K21" s="10">
        <v>173.9579348</v>
      </c>
      <c r="L21" s="10">
        <v>288.66593690000002</v>
      </c>
      <c r="M21" s="10">
        <v>226.83403659999999</v>
      </c>
      <c r="N21" s="10">
        <v>279.07861459999998</v>
      </c>
      <c r="O21" s="10">
        <v>245.7609382</v>
      </c>
      <c r="P21" s="10">
        <v>315.77471800000001</v>
      </c>
      <c r="Q21" s="10">
        <v>232.7442892</v>
      </c>
      <c r="R21" s="10">
        <v>256.2643028</v>
      </c>
      <c r="S21" s="10">
        <v>214.923359</v>
      </c>
      <c r="T21" s="10">
        <v>309.76587119999999</v>
      </c>
      <c r="U21" s="10">
        <v>255.0480431</v>
      </c>
      <c r="V21" s="10">
        <v>285.02606950000001</v>
      </c>
      <c r="W21" s="10">
        <v>275.12455829999999</v>
      </c>
      <c r="X21" s="10">
        <v>291.40426819999999</v>
      </c>
      <c r="Y21" s="10">
        <v>231.34270419999999</v>
      </c>
      <c r="Z21" s="10">
        <v>255.0241001</v>
      </c>
      <c r="AA21" s="10">
        <v>262.0603496</v>
      </c>
      <c r="AB21" s="10">
        <v>250.3097339</v>
      </c>
      <c r="AC21" s="10">
        <v>235.13245130000001</v>
      </c>
      <c r="AD21" s="10">
        <v>208.5463455</v>
      </c>
      <c r="AE21" s="10">
        <v>181.09147899999999</v>
      </c>
      <c r="AF21" s="10">
        <v>183.1657663</v>
      </c>
      <c r="AG21" s="10">
        <v>290.041833</v>
      </c>
      <c r="AH21" s="10">
        <v>256.52676841333334</v>
      </c>
      <c r="AI21" s="10">
        <v>0.6</v>
      </c>
      <c r="AJ21" s="10">
        <v>427.54461402222228</v>
      </c>
      <c r="AK21" s="10">
        <v>4.2754461402222228</v>
      </c>
      <c r="AL21" s="10">
        <v>0.2</v>
      </c>
      <c r="AM21" s="10">
        <v>85.508922804444467</v>
      </c>
      <c r="AN21" s="19" t="s">
        <v>51</v>
      </c>
      <c r="AO21" s="19" t="s">
        <v>52</v>
      </c>
      <c r="AP21" s="10" t="s">
        <v>67</v>
      </c>
      <c r="AQ21" s="10" t="s">
        <v>66</v>
      </c>
      <c r="AR21" s="19">
        <v>85.508922804444467</v>
      </c>
      <c r="AS21" s="10">
        <v>0</v>
      </c>
      <c r="AT21">
        <v>0</v>
      </c>
    </row>
    <row r="22" spans="1:46">
      <c r="A22" s="10">
        <v>10</v>
      </c>
      <c r="B22" s="10">
        <v>36000</v>
      </c>
      <c r="C22" s="10">
        <v>150</v>
      </c>
      <c r="D22" s="10">
        <v>239.77035179999999</v>
      </c>
      <c r="E22" s="10">
        <v>156.32238359999999</v>
      </c>
      <c r="F22" s="10">
        <v>250.11088169999999</v>
      </c>
      <c r="G22" s="10">
        <v>193.14202929999999</v>
      </c>
      <c r="H22" s="10">
        <v>210.7163334</v>
      </c>
      <c r="I22" s="10">
        <v>181.77176729999999</v>
      </c>
      <c r="J22" s="10">
        <v>187.07914679999999</v>
      </c>
      <c r="K22" s="10">
        <v>227.75756459999999</v>
      </c>
      <c r="L22" s="10">
        <v>253.5980222</v>
      </c>
      <c r="M22" s="10">
        <v>193.62511670000001</v>
      </c>
      <c r="N22" s="10">
        <v>260.31584299999997</v>
      </c>
      <c r="O22" s="10">
        <v>270.21572529999997</v>
      </c>
      <c r="P22" s="10">
        <v>222.67195860000001</v>
      </c>
      <c r="Q22" s="10">
        <v>166.42516749999999</v>
      </c>
      <c r="R22" s="10">
        <v>254.7378258</v>
      </c>
      <c r="S22" s="10">
        <v>274.00253090000001</v>
      </c>
      <c r="T22" s="10">
        <v>233.15359559999999</v>
      </c>
      <c r="U22" s="10">
        <v>184.35949059999999</v>
      </c>
      <c r="V22" s="10">
        <v>199.62923180000001</v>
      </c>
      <c r="W22" s="10">
        <v>226.45469080000001</v>
      </c>
      <c r="X22" s="10">
        <v>236.82357949999999</v>
      </c>
      <c r="Y22" s="10">
        <v>202.2490626</v>
      </c>
      <c r="Z22" s="10">
        <v>200.0297032</v>
      </c>
      <c r="AA22" s="10">
        <v>259.77565529999998</v>
      </c>
      <c r="AB22" s="10">
        <v>243.68731650000001</v>
      </c>
      <c r="AC22" s="10">
        <v>243.02058589999999</v>
      </c>
      <c r="AD22" s="10">
        <v>292.99231930000002</v>
      </c>
      <c r="AE22" s="10">
        <v>221.47451749999999</v>
      </c>
      <c r="AF22" s="10">
        <v>255.36688079999999</v>
      </c>
      <c r="AG22" s="10">
        <v>267.82143789999998</v>
      </c>
      <c r="AH22" s="10">
        <v>226.97002385999997</v>
      </c>
      <c r="AI22" s="10">
        <v>0.6</v>
      </c>
      <c r="AJ22" s="10">
        <v>378.28337309999995</v>
      </c>
      <c r="AK22" s="10">
        <v>3.7828337309999993</v>
      </c>
      <c r="AL22" s="10">
        <v>0.2</v>
      </c>
      <c r="AM22" s="10">
        <v>75.65667461999999</v>
      </c>
      <c r="AN22" s="19" t="s">
        <v>51</v>
      </c>
      <c r="AO22" s="19" t="s">
        <v>50</v>
      </c>
      <c r="AP22" s="10" t="s">
        <v>66</v>
      </c>
      <c r="AQ22" s="10" t="s">
        <v>67</v>
      </c>
      <c r="AR22" s="19">
        <v>0</v>
      </c>
      <c r="AS22" s="10">
        <v>75.65667461999999</v>
      </c>
      <c r="AT22">
        <v>1</v>
      </c>
    </row>
    <row r="23" spans="1:46">
      <c r="A23" s="10">
        <v>10.5</v>
      </c>
      <c r="B23" s="10">
        <v>37800</v>
      </c>
      <c r="C23" s="10">
        <v>300</v>
      </c>
      <c r="D23" s="10">
        <v>370.49164660000002</v>
      </c>
      <c r="E23" s="10">
        <v>306.26061970000001</v>
      </c>
      <c r="F23" s="10">
        <v>487.9826923</v>
      </c>
      <c r="G23" s="10">
        <v>591.19451509999999</v>
      </c>
      <c r="H23" s="10">
        <v>501.06330750000001</v>
      </c>
      <c r="I23" s="10">
        <v>549.43763630000001</v>
      </c>
      <c r="J23" s="10">
        <v>337.50328960000002</v>
      </c>
      <c r="K23" s="10">
        <v>375.09260829999999</v>
      </c>
      <c r="L23" s="10">
        <v>300.28219990000002</v>
      </c>
      <c r="M23" s="10">
        <v>346.67618160000001</v>
      </c>
      <c r="N23" s="10">
        <v>311.31109070000002</v>
      </c>
      <c r="O23" s="10">
        <v>495.70319869999997</v>
      </c>
      <c r="P23" s="10">
        <v>381.99954589999999</v>
      </c>
      <c r="Q23" s="10">
        <v>564.33800040000006</v>
      </c>
      <c r="R23" s="10">
        <v>323.78107290000003</v>
      </c>
      <c r="S23" s="10">
        <v>441.78195160000001</v>
      </c>
      <c r="T23" s="10">
        <v>440.28419409999998</v>
      </c>
      <c r="U23" s="10">
        <v>377.46727620000001</v>
      </c>
      <c r="V23" s="10">
        <v>335.59949460000001</v>
      </c>
      <c r="W23" s="10">
        <v>410.34125089999998</v>
      </c>
      <c r="X23" s="10">
        <v>386.9226324</v>
      </c>
      <c r="Y23" s="10">
        <v>521.90058380000005</v>
      </c>
      <c r="Z23" s="10">
        <v>426.1336761</v>
      </c>
      <c r="AA23" s="10">
        <v>563.02913220000005</v>
      </c>
      <c r="AB23" s="10">
        <v>356.27008569999998</v>
      </c>
      <c r="AC23" s="10">
        <v>391.1376042</v>
      </c>
      <c r="AD23" s="10">
        <v>523.53883949999999</v>
      </c>
      <c r="AE23" s="10">
        <v>482.9310132</v>
      </c>
      <c r="AF23" s="10">
        <v>501.6542445</v>
      </c>
      <c r="AG23" s="10">
        <v>471.73302059999997</v>
      </c>
      <c r="AH23" s="10">
        <v>429.12808683666657</v>
      </c>
      <c r="AI23" s="10">
        <v>0.6</v>
      </c>
      <c r="AJ23" s="10">
        <v>715.213478061111</v>
      </c>
      <c r="AK23" s="10">
        <v>7.1521347806111102</v>
      </c>
      <c r="AL23" s="10">
        <v>0.2</v>
      </c>
      <c r="AM23" s="10">
        <v>143.04269561222222</v>
      </c>
      <c r="AN23" s="19" t="s">
        <v>51</v>
      </c>
      <c r="AO23" s="19" t="s">
        <v>52</v>
      </c>
      <c r="AP23" s="10" t="s">
        <v>67</v>
      </c>
      <c r="AQ23" s="10" t="s">
        <v>66</v>
      </c>
      <c r="AR23" s="19">
        <v>143.04269561222222</v>
      </c>
      <c r="AS23" s="10">
        <v>0</v>
      </c>
      <c r="AT23">
        <v>0</v>
      </c>
    </row>
    <row r="24" spans="1:46">
      <c r="A24" s="10">
        <v>11</v>
      </c>
      <c r="B24" s="10">
        <v>39600</v>
      </c>
      <c r="C24" s="10">
        <v>320</v>
      </c>
      <c r="D24" s="10">
        <v>484.18284699999998</v>
      </c>
      <c r="E24" s="10">
        <v>559.06057769999995</v>
      </c>
      <c r="F24" s="10">
        <v>472.54074919999999</v>
      </c>
      <c r="G24" s="10">
        <v>348.42035420000002</v>
      </c>
      <c r="H24" s="10">
        <v>582.54424319999998</v>
      </c>
      <c r="I24" s="10">
        <v>613.98761190000005</v>
      </c>
      <c r="J24" s="10">
        <v>558.29351989999998</v>
      </c>
      <c r="K24" s="10">
        <v>481.42908920000002</v>
      </c>
      <c r="L24" s="10">
        <v>520.60863289999998</v>
      </c>
      <c r="M24" s="10">
        <v>582.02606430000003</v>
      </c>
      <c r="N24" s="10">
        <v>390.25088419999997</v>
      </c>
      <c r="O24" s="10">
        <v>332.26202769999998</v>
      </c>
      <c r="P24" s="10">
        <v>399.19281969999997</v>
      </c>
      <c r="Q24" s="10">
        <v>477.63269330000003</v>
      </c>
      <c r="R24" s="10">
        <v>434.207559</v>
      </c>
      <c r="S24" s="10">
        <v>397.54304869999999</v>
      </c>
      <c r="T24" s="10">
        <v>469.26511219999998</v>
      </c>
      <c r="U24" s="10">
        <v>619.57749160000003</v>
      </c>
      <c r="V24" s="10">
        <v>407.15811650000001</v>
      </c>
      <c r="W24" s="10">
        <v>386.28855370000002</v>
      </c>
      <c r="X24" s="10">
        <v>554.76609619999999</v>
      </c>
      <c r="Y24" s="10">
        <v>469.69630119999999</v>
      </c>
      <c r="Z24" s="10">
        <v>362.94339400000001</v>
      </c>
      <c r="AA24" s="10">
        <v>500.18346430000003</v>
      </c>
      <c r="AB24" s="10">
        <v>350.40924869999998</v>
      </c>
      <c r="AC24" s="10">
        <v>622.15675290000001</v>
      </c>
      <c r="AD24" s="10">
        <v>606.42923519999999</v>
      </c>
      <c r="AE24" s="10">
        <v>366.72605670000002</v>
      </c>
      <c r="AF24" s="10">
        <v>638.24045660000002</v>
      </c>
      <c r="AG24" s="10">
        <v>495.135831</v>
      </c>
      <c r="AH24" s="10">
        <v>482.7719610966667</v>
      </c>
      <c r="AI24" s="10">
        <v>0.6</v>
      </c>
      <c r="AJ24" s="10">
        <v>804.61993516111124</v>
      </c>
      <c r="AK24" s="10">
        <v>8.0461993516111132</v>
      </c>
      <c r="AL24" s="10">
        <v>0.2</v>
      </c>
      <c r="AM24" s="10">
        <v>160.92398703222227</v>
      </c>
      <c r="AN24" s="19" t="s">
        <v>51</v>
      </c>
      <c r="AO24" s="19" t="s">
        <v>52</v>
      </c>
      <c r="AP24" s="10" t="s">
        <v>67</v>
      </c>
      <c r="AQ24" s="10" t="s">
        <v>66</v>
      </c>
      <c r="AR24" s="19">
        <v>160.92398703222227</v>
      </c>
      <c r="AS24" s="10">
        <v>0</v>
      </c>
      <c r="AT24">
        <v>0</v>
      </c>
    </row>
    <row r="25" spans="1:46">
      <c r="A25" s="10">
        <v>11.5</v>
      </c>
      <c r="B25" s="10">
        <v>41400</v>
      </c>
      <c r="C25" s="10">
        <v>300</v>
      </c>
      <c r="D25" s="10">
        <v>318.59970759999999</v>
      </c>
      <c r="E25" s="10">
        <v>371.63463560000002</v>
      </c>
      <c r="F25" s="10">
        <v>575.62873930000001</v>
      </c>
      <c r="G25" s="10">
        <v>371.96830210000002</v>
      </c>
      <c r="H25" s="10">
        <v>561.2894685</v>
      </c>
      <c r="I25" s="10">
        <v>542.00830810000002</v>
      </c>
      <c r="J25" s="10">
        <v>512.92517150000003</v>
      </c>
      <c r="K25" s="10">
        <v>307.85960069999999</v>
      </c>
      <c r="L25" s="10">
        <v>526.27561009999999</v>
      </c>
      <c r="M25" s="10">
        <v>583.82997379999995</v>
      </c>
      <c r="N25" s="10">
        <v>501.26728379999997</v>
      </c>
      <c r="O25" s="10">
        <v>486.2675132</v>
      </c>
      <c r="P25" s="10">
        <v>354.7203538</v>
      </c>
      <c r="Q25" s="10">
        <v>381.68878339999998</v>
      </c>
      <c r="R25" s="10">
        <v>522.28354090000005</v>
      </c>
      <c r="S25" s="10">
        <v>401.18998329999999</v>
      </c>
      <c r="T25" s="10">
        <v>491.4909151</v>
      </c>
      <c r="U25" s="10">
        <v>550.68146760000002</v>
      </c>
      <c r="V25" s="10">
        <v>555.80657189999999</v>
      </c>
      <c r="W25" s="10">
        <v>580.7607663</v>
      </c>
      <c r="X25" s="10">
        <v>382.05810580000002</v>
      </c>
      <c r="Y25" s="10">
        <v>496.9880364</v>
      </c>
      <c r="Z25" s="10">
        <v>315.25783319999999</v>
      </c>
      <c r="AA25" s="10">
        <v>394.69896249999999</v>
      </c>
      <c r="AB25" s="10">
        <v>402.77035840000002</v>
      </c>
      <c r="AC25" s="10">
        <v>329.22484939999998</v>
      </c>
      <c r="AD25" s="10">
        <v>313.07480900000002</v>
      </c>
      <c r="AE25" s="10">
        <v>434.69799940000001</v>
      </c>
      <c r="AF25" s="10">
        <v>362.2879878</v>
      </c>
      <c r="AG25" s="10">
        <v>375.95063379999999</v>
      </c>
      <c r="AH25" s="10">
        <v>443.50620907666666</v>
      </c>
      <c r="AI25" s="10">
        <v>0.6</v>
      </c>
      <c r="AJ25" s="10">
        <v>739.17701512777785</v>
      </c>
      <c r="AK25" s="10">
        <v>7.3917701512777789</v>
      </c>
      <c r="AL25" s="10">
        <v>0.2</v>
      </c>
      <c r="AM25" s="10">
        <v>147.83540302555556</v>
      </c>
      <c r="AN25" s="19" t="s">
        <v>51</v>
      </c>
      <c r="AO25" s="19" t="s">
        <v>52</v>
      </c>
      <c r="AP25" s="10" t="s">
        <v>67</v>
      </c>
      <c r="AQ25" s="10" t="s">
        <v>66</v>
      </c>
      <c r="AR25" s="19">
        <v>147.83540302555556</v>
      </c>
      <c r="AS25" s="10">
        <v>0</v>
      </c>
      <c r="AT25">
        <v>0</v>
      </c>
    </row>
    <row r="26" spans="1:46">
      <c r="A26" s="10">
        <v>12</v>
      </c>
      <c r="B26" s="10">
        <v>43200</v>
      </c>
      <c r="C26" s="10">
        <v>320</v>
      </c>
      <c r="D26" s="10">
        <v>379.94914</v>
      </c>
      <c r="E26" s="10">
        <v>459.27456740000002</v>
      </c>
      <c r="F26" s="10">
        <v>438.81350090000001</v>
      </c>
      <c r="G26" s="10">
        <v>430.19161009999999</v>
      </c>
      <c r="H26" s="10">
        <v>457.41422940000001</v>
      </c>
      <c r="I26" s="10">
        <v>338.5837669</v>
      </c>
      <c r="J26" s="10">
        <v>543.36605699999996</v>
      </c>
      <c r="K26" s="10">
        <v>342.03478289999998</v>
      </c>
      <c r="L26" s="10">
        <v>637.25798180000004</v>
      </c>
      <c r="M26" s="10">
        <v>389.45546209999998</v>
      </c>
      <c r="N26" s="10">
        <v>457.35749900000002</v>
      </c>
      <c r="O26" s="10">
        <v>427.57606040000002</v>
      </c>
      <c r="P26" s="10">
        <v>574.55939709999996</v>
      </c>
      <c r="Q26" s="10">
        <v>440.60785349999998</v>
      </c>
      <c r="R26" s="10">
        <v>430.76305639999998</v>
      </c>
      <c r="S26" s="10">
        <v>587.25176829999998</v>
      </c>
      <c r="T26" s="10">
        <v>362.67445170000002</v>
      </c>
      <c r="U26" s="10">
        <v>570.36140869999997</v>
      </c>
      <c r="V26" s="10">
        <v>567.93827699999997</v>
      </c>
      <c r="W26" s="10">
        <v>624.54106309999997</v>
      </c>
      <c r="X26" s="10">
        <v>396.95551269999999</v>
      </c>
      <c r="Y26" s="10">
        <v>381.88808690000002</v>
      </c>
      <c r="Z26" s="10">
        <v>613.61796079999999</v>
      </c>
      <c r="AA26" s="10">
        <v>530.97444870000004</v>
      </c>
      <c r="AB26" s="10">
        <v>368.51984850000002</v>
      </c>
      <c r="AC26" s="10">
        <v>590.21162389999995</v>
      </c>
      <c r="AD26" s="10">
        <v>515.95675400000005</v>
      </c>
      <c r="AE26" s="10">
        <v>322.13627250000002</v>
      </c>
      <c r="AF26" s="10">
        <v>600.10845200000006</v>
      </c>
      <c r="AG26" s="10">
        <v>409.81591809999998</v>
      </c>
      <c r="AH26" s="10">
        <v>473.00522705999998</v>
      </c>
      <c r="AI26" s="10">
        <v>0.6</v>
      </c>
      <c r="AJ26" s="10">
        <v>788.34204509999995</v>
      </c>
      <c r="AK26" s="10">
        <v>7.8834204509999992</v>
      </c>
      <c r="AL26" s="10">
        <v>0.2</v>
      </c>
      <c r="AM26" s="10">
        <v>157.66840902000001</v>
      </c>
      <c r="AN26" s="19" t="s">
        <v>51</v>
      </c>
      <c r="AO26" s="19" t="s">
        <v>50</v>
      </c>
      <c r="AP26" s="10" t="s">
        <v>66</v>
      </c>
      <c r="AQ26" s="10" t="s">
        <v>67</v>
      </c>
      <c r="AR26" s="19">
        <v>0</v>
      </c>
      <c r="AS26" s="10">
        <v>157.66840902000001</v>
      </c>
      <c r="AT26">
        <v>1</v>
      </c>
    </row>
    <row r="27" spans="1:46">
      <c r="A27" s="10">
        <v>12.5</v>
      </c>
      <c r="B27" s="10">
        <v>45000</v>
      </c>
      <c r="C27" s="10">
        <v>350</v>
      </c>
      <c r="D27" s="10">
        <v>466.03273630000001</v>
      </c>
      <c r="E27" s="10">
        <v>488.01147750000001</v>
      </c>
      <c r="F27" s="10">
        <v>442.56102609999999</v>
      </c>
      <c r="G27" s="10">
        <v>565.95585080000001</v>
      </c>
      <c r="H27" s="10">
        <v>598.6010192</v>
      </c>
      <c r="I27" s="10">
        <v>694.89911089999998</v>
      </c>
      <c r="J27" s="10">
        <v>490.3243056</v>
      </c>
      <c r="K27" s="10">
        <v>566.9111279</v>
      </c>
      <c r="L27" s="10">
        <v>612.49127739999994</v>
      </c>
      <c r="M27" s="10">
        <v>634.7346417</v>
      </c>
      <c r="N27" s="10">
        <v>412.63875580000001</v>
      </c>
      <c r="O27" s="10">
        <v>461.43979589999998</v>
      </c>
      <c r="P27" s="10">
        <v>434.25512309999999</v>
      </c>
      <c r="Q27" s="10">
        <v>353.63126929999999</v>
      </c>
      <c r="R27" s="10">
        <v>691.74743990000002</v>
      </c>
      <c r="S27" s="10">
        <v>492.38973879999998</v>
      </c>
      <c r="T27" s="10">
        <v>646.04510879999998</v>
      </c>
      <c r="U27" s="10">
        <v>454.39279429999999</v>
      </c>
      <c r="V27" s="10">
        <v>673.37028950000001</v>
      </c>
      <c r="W27" s="10">
        <v>379.3023895</v>
      </c>
      <c r="X27" s="10">
        <v>410.4191644</v>
      </c>
      <c r="Y27" s="10">
        <v>438.57016190000002</v>
      </c>
      <c r="Z27" s="10">
        <v>635.87686740000004</v>
      </c>
      <c r="AA27" s="10">
        <v>641.79829110000003</v>
      </c>
      <c r="AB27" s="10">
        <v>402.15005689999998</v>
      </c>
      <c r="AC27" s="10">
        <v>436.63789409999998</v>
      </c>
      <c r="AD27" s="10">
        <v>356.4631402</v>
      </c>
      <c r="AE27" s="10">
        <v>361.80200660000003</v>
      </c>
      <c r="AF27" s="10">
        <v>575.70451500000001</v>
      </c>
      <c r="AG27" s="10">
        <v>641.8773185</v>
      </c>
      <c r="AH27" s="10">
        <v>515.36782314666675</v>
      </c>
      <c r="AI27" s="10">
        <v>0.6</v>
      </c>
      <c r="AJ27" s="10">
        <v>858.94637191111133</v>
      </c>
      <c r="AK27" s="10">
        <v>8.5894637191111141</v>
      </c>
      <c r="AL27" s="10">
        <v>0.2</v>
      </c>
      <c r="AM27" s="10">
        <v>171.78927438222229</v>
      </c>
      <c r="AN27" s="19" t="s">
        <v>51</v>
      </c>
      <c r="AO27" s="19" t="s">
        <v>52</v>
      </c>
      <c r="AP27" s="10" t="s">
        <v>67</v>
      </c>
      <c r="AQ27" s="10" t="s">
        <v>66</v>
      </c>
      <c r="AR27" s="19">
        <v>171.78927438222229</v>
      </c>
      <c r="AS27" s="10">
        <v>0</v>
      </c>
      <c r="AT27">
        <v>0</v>
      </c>
    </row>
    <row r="28" spans="1:46">
      <c r="A28" s="10">
        <v>13</v>
      </c>
      <c r="B28" s="10">
        <v>46800</v>
      </c>
      <c r="C28" s="10">
        <v>360</v>
      </c>
      <c r="D28" s="10">
        <v>650.4997525</v>
      </c>
      <c r="E28" s="10">
        <v>376.51764359999999</v>
      </c>
      <c r="F28" s="10">
        <v>479.38565410000001</v>
      </c>
      <c r="G28" s="10">
        <v>442.30630600000001</v>
      </c>
      <c r="H28" s="10">
        <v>665.14030679999996</v>
      </c>
      <c r="I28" s="10">
        <v>678.32819180000001</v>
      </c>
      <c r="J28" s="10">
        <v>416.27401529999997</v>
      </c>
      <c r="K28" s="10">
        <v>623.0466457</v>
      </c>
      <c r="L28" s="10">
        <v>475.3229359</v>
      </c>
      <c r="M28" s="10">
        <v>665.9664884</v>
      </c>
      <c r="N28" s="10">
        <v>571.3879048</v>
      </c>
      <c r="O28" s="10">
        <v>389.32612920000003</v>
      </c>
      <c r="P28" s="10">
        <v>432.30365</v>
      </c>
      <c r="Q28" s="10">
        <v>555.37820720000002</v>
      </c>
      <c r="R28" s="10">
        <v>657.83745180000005</v>
      </c>
      <c r="S28" s="10">
        <v>535.27586329999997</v>
      </c>
      <c r="T28" s="10">
        <v>464.6889157</v>
      </c>
      <c r="U28" s="10">
        <v>465.09725309999999</v>
      </c>
      <c r="V28" s="10">
        <v>476.91941170000001</v>
      </c>
      <c r="W28" s="10">
        <v>382.5018556</v>
      </c>
      <c r="X28" s="10">
        <v>571.37784639999995</v>
      </c>
      <c r="Y28" s="10">
        <v>464.17428910000001</v>
      </c>
      <c r="Z28" s="10">
        <v>471.40444250000002</v>
      </c>
      <c r="AA28" s="10">
        <v>388.1819155</v>
      </c>
      <c r="AB28" s="10">
        <v>545.68311930000004</v>
      </c>
      <c r="AC28" s="10">
        <v>501.83874630000003</v>
      </c>
      <c r="AD28" s="10">
        <v>381.53134169999998</v>
      </c>
      <c r="AE28" s="10">
        <v>551.49898759999996</v>
      </c>
      <c r="AF28" s="10">
        <v>542.58476189999999</v>
      </c>
      <c r="AG28" s="10">
        <v>650.46668560000001</v>
      </c>
      <c r="AH28" s="10">
        <v>515.74155727999994</v>
      </c>
      <c r="AI28" s="10">
        <v>0.6</v>
      </c>
      <c r="AJ28" s="10">
        <v>859.56926213333327</v>
      </c>
      <c r="AK28" s="10">
        <v>8.5956926213333329</v>
      </c>
      <c r="AL28" s="10">
        <v>0.2</v>
      </c>
      <c r="AM28" s="10">
        <v>171.91385242666666</v>
      </c>
      <c r="AN28" s="19" t="s">
        <v>51</v>
      </c>
      <c r="AO28" s="19" t="s">
        <v>52</v>
      </c>
      <c r="AP28" s="10" t="s">
        <v>67</v>
      </c>
      <c r="AQ28" s="10" t="s">
        <v>66</v>
      </c>
      <c r="AR28" s="19">
        <v>171.91385242666666</v>
      </c>
      <c r="AS28" s="10">
        <v>0</v>
      </c>
      <c r="AT28">
        <v>0</v>
      </c>
    </row>
    <row r="29" spans="1:46">
      <c r="A29" s="10">
        <v>13.5</v>
      </c>
      <c r="B29" s="10">
        <v>48600</v>
      </c>
      <c r="C29" s="10">
        <v>325</v>
      </c>
      <c r="D29" s="10">
        <v>334.59154150000001</v>
      </c>
      <c r="E29" s="10">
        <v>572.42644819999998</v>
      </c>
      <c r="F29" s="10">
        <v>462.75399590000001</v>
      </c>
      <c r="G29" s="10">
        <v>385.6233158</v>
      </c>
      <c r="H29" s="10">
        <v>364.9458649</v>
      </c>
      <c r="I29" s="10">
        <v>362.11341220000003</v>
      </c>
      <c r="J29" s="10">
        <v>356.13500420000003</v>
      </c>
      <c r="K29" s="10">
        <v>438.76124720000001</v>
      </c>
      <c r="L29" s="10">
        <v>386.1054006</v>
      </c>
      <c r="M29" s="10">
        <v>458.41270650000001</v>
      </c>
      <c r="N29" s="10">
        <v>490.92929020000003</v>
      </c>
      <c r="O29" s="10">
        <v>382.71757500000001</v>
      </c>
      <c r="P29" s="10">
        <v>625.26417079999999</v>
      </c>
      <c r="Q29" s="10">
        <v>411.0530114</v>
      </c>
      <c r="R29" s="10">
        <v>628.52769929999999</v>
      </c>
      <c r="S29" s="10">
        <v>377.49936309999998</v>
      </c>
      <c r="T29" s="10">
        <v>643.57694319999996</v>
      </c>
      <c r="U29" s="10">
        <v>638.13469889999999</v>
      </c>
      <c r="V29" s="10">
        <v>370.74186079999998</v>
      </c>
      <c r="W29" s="10">
        <v>330.24003870000001</v>
      </c>
      <c r="X29" s="10">
        <v>480.02755980000001</v>
      </c>
      <c r="Y29" s="10">
        <v>579.21885069999996</v>
      </c>
      <c r="Z29" s="10">
        <v>350.6197904</v>
      </c>
      <c r="AA29" s="10">
        <v>602.63956199999996</v>
      </c>
      <c r="AB29" s="10">
        <v>529.66492400000004</v>
      </c>
      <c r="AC29" s="10">
        <v>561.32960060000005</v>
      </c>
      <c r="AD29" s="10">
        <v>330.43065319999999</v>
      </c>
      <c r="AE29" s="10">
        <v>481.02272579999999</v>
      </c>
      <c r="AF29" s="10">
        <v>505.15882970000001</v>
      </c>
      <c r="AG29" s="10">
        <v>625.86147349999999</v>
      </c>
      <c r="AH29" s="10">
        <v>468.8842519366666</v>
      </c>
      <c r="AI29" s="10">
        <v>0.6</v>
      </c>
      <c r="AJ29" s="10">
        <v>781.47375322777771</v>
      </c>
      <c r="AK29" s="10">
        <v>7.8147375322777775</v>
      </c>
      <c r="AL29" s="10">
        <v>0.2</v>
      </c>
      <c r="AM29" s="10">
        <v>156.29475064555555</v>
      </c>
      <c r="AN29" s="19" t="s">
        <v>51</v>
      </c>
      <c r="AO29" s="10" t="s">
        <v>50</v>
      </c>
      <c r="AP29" s="10" t="s">
        <v>66</v>
      </c>
      <c r="AQ29" s="10" t="s">
        <v>67</v>
      </c>
      <c r="AR29" s="19">
        <v>0</v>
      </c>
      <c r="AS29" s="10">
        <v>156.29475064555555</v>
      </c>
      <c r="AT29">
        <v>1</v>
      </c>
    </row>
    <row r="30" spans="1:46">
      <c r="A30" s="10">
        <v>14</v>
      </c>
      <c r="B30" s="10">
        <v>50400</v>
      </c>
      <c r="C30" s="10">
        <v>320</v>
      </c>
      <c r="D30" s="10">
        <v>622.39037180000003</v>
      </c>
      <c r="E30" s="10">
        <v>402.1880476</v>
      </c>
      <c r="F30" s="10">
        <v>633.9482908</v>
      </c>
      <c r="G30" s="10">
        <v>336.7669823</v>
      </c>
      <c r="H30" s="10">
        <v>329.23953</v>
      </c>
      <c r="I30" s="10">
        <v>419.89200039999997</v>
      </c>
      <c r="J30" s="10">
        <v>630.36472170000002</v>
      </c>
      <c r="K30" s="10">
        <v>494.60169760000002</v>
      </c>
      <c r="L30" s="10">
        <v>601.3862378</v>
      </c>
      <c r="M30" s="10">
        <v>452.39135169999997</v>
      </c>
      <c r="N30" s="10">
        <v>354.05855659999997</v>
      </c>
      <c r="O30" s="10">
        <v>540.6615984</v>
      </c>
      <c r="P30" s="10">
        <v>611.53282709999996</v>
      </c>
      <c r="Q30" s="10">
        <v>516.46319849999998</v>
      </c>
      <c r="R30" s="10">
        <v>351.84583470000001</v>
      </c>
      <c r="S30" s="10">
        <v>632.22581030000003</v>
      </c>
      <c r="T30" s="10">
        <v>382.8394108</v>
      </c>
      <c r="U30" s="10">
        <v>531.17490569999995</v>
      </c>
      <c r="V30" s="10">
        <v>399.54798249999999</v>
      </c>
      <c r="W30" s="10">
        <v>399.4946041</v>
      </c>
      <c r="X30" s="10">
        <v>491.66818840000002</v>
      </c>
      <c r="Y30" s="10">
        <v>443.20445919999997</v>
      </c>
      <c r="Z30" s="10">
        <v>369.64569219999998</v>
      </c>
      <c r="AA30" s="10">
        <v>619.28996549999999</v>
      </c>
      <c r="AB30" s="10">
        <v>377.35527619999999</v>
      </c>
      <c r="AC30" s="10">
        <v>532.45346900000004</v>
      </c>
      <c r="AD30" s="10">
        <v>596.52680239999995</v>
      </c>
      <c r="AE30" s="10">
        <v>417.80670559999999</v>
      </c>
      <c r="AF30" s="10">
        <v>518.75679490000005</v>
      </c>
      <c r="AG30" s="10">
        <v>464.84206890000002</v>
      </c>
      <c r="AH30" s="10">
        <v>482.48544608999998</v>
      </c>
      <c r="AI30" s="10">
        <v>0.6</v>
      </c>
      <c r="AJ30" s="10">
        <v>804.14241015000005</v>
      </c>
      <c r="AK30" s="10">
        <v>8.0414241015000005</v>
      </c>
      <c r="AL30" s="10">
        <v>0.2</v>
      </c>
      <c r="AM30" s="10">
        <v>160.82848203000003</v>
      </c>
      <c r="AN30" s="19" t="s">
        <v>51</v>
      </c>
      <c r="AO30" s="19" t="s">
        <v>52</v>
      </c>
      <c r="AP30" s="10" t="s">
        <v>67</v>
      </c>
      <c r="AQ30" s="10" t="s">
        <v>66</v>
      </c>
      <c r="AR30" s="19">
        <v>160.82848203000003</v>
      </c>
      <c r="AS30" s="10">
        <v>0</v>
      </c>
      <c r="AT30">
        <v>0</v>
      </c>
    </row>
    <row r="31" spans="1:46">
      <c r="A31" s="10">
        <v>14.5</v>
      </c>
      <c r="B31" s="10">
        <v>52200</v>
      </c>
      <c r="C31" s="10">
        <v>400</v>
      </c>
      <c r="D31" s="10">
        <v>649.71356800000001</v>
      </c>
      <c r="E31" s="10">
        <v>477.31321650000001</v>
      </c>
      <c r="F31" s="10">
        <v>514.54904150000004</v>
      </c>
      <c r="G31" s="10">
        <v>744.8775018</v>
      </c>
      <c r="H31" s="10">
        <v>403.63423410000001</v>
      </c>
      <c r="I31" s="10">
        <v>770.11152089999996</v>
      </c>
      <c r="J31" s="10">
        <v>536.71004649999998</v>
      </c>
      <c r="K31" s="10">
        <v>746.00933510000004</v>
      </c>
      <c r="L31" s="10">
        <v>712.28220329999999</v>
      </c>
      <c r="M31" s="10">
        <v>758.06272620000004</v>
      </c>
      <c r="N31" s="10">
        <v>672.10243909999997</v>
      </c>
      <c r="O31" s="10">
        <v>760.79205490000004</v>
      </c>
      <c r="P31" s="10">
        <v>408.2669449</v>
      </c>
      <c r="Q31" s="10">
        <v>544.47533299999998</v>
      </c>
      <c r="R31" s="10">
        <v>455.49306510000002</v>
      </c>
      <c r="S31" s="10">
        <v>539.79505549999999</v>
      </c>
      <c r="T31" s="10">
        <v>758.4825697</v>
      </c>
      <c r="U31" s="10">
        <v>627.16774550000002</v>
      </c>
      <c r="V31" s="10">
        <v>521.70764140000006</v>
      </c>
      <c r="W31" s="10">
        <v>694.94923319999998</v>
      </c>
      <c r="X31" s="10">
        <v>739.28932029999999</v>
      </c>
      <c r="Y31" s="10">
        <v>464.88959829999999</v>
      </c>
      <c r="Z31" s="10">
        <v>742.7036339</v>
      </c>
      <c r="AA31" s="10">
        <v>619.69841550000001</v>
      </c>
      <c r="AB31" s="10">
        <v>429.32465769999999</v>
      </c>
      <c r="AC31" s="10">
        <v>500.93011300000001</v>
      </c>
      <c r="AD31" s="10">
        <v>796.4020117</v>
      </c>
      <c r="AE31" s="10">
        <v>685.40684699999997</v>
      </c>
      <c r="AF31" s="10">
        <v>586.72561169999994</v>
      </c>
      <c r="AG31" s="10">
        <v>681.66707299999996</v>
      </c>
      <c r="AH31" s="10">
        <v>618.11775861000001</v>
      </c>
      <c r="AI31" s="10">
        <v>0.6</v>
      </c>
      <c r="AJ31" s="10">
        <v>1030.1962643500001</v>
      </c>
      <c r="AK31" s="10">
        <v>10.301962643500001</v>
      </c>
      <c r="AL31" s="10">
        <v>0.2</v>
      </c>
      <c r="AM31" s="10">
        <v>206.03925287000004</v>
      </c>
      <c r="AN31" s="19" t="s">
        <v>51</v>
      </c>
      <c r="AO31" s="19" t="s">
        <v>52</v>
      </c>
      <c r="AP31" s="10" t="s">
        <v>67</v>
      </c>
      <c r="AQ31" s="10" t="s">
        <v>66</v>
      </c>
      <c r="AR31" s="19">
        <v>206.03925287000004</v>
      </c>
      <c r="AS31" s="10">
        <v>0</v>
      </c>
      <c r="AT31">
        <v>0</v>
      </c>
    </row>
    <row r="32" spans="1:46">
      <c r="A32" s="10">
        <v>15</v>
      </c>
      <c r="B32" s="10">
        <v>54000</v>
      </c>
      <c r="C32" s="10">
        <v>420</v>
      </c>
      <c r="D32" s="10">
        <v>751.56290660000002</v>
      </c>
      <c r="E32" s="10">
        <v>743.52815469999996</v>
      </c>
      <c r="F32" s="10">
        <v>522.40425159999995</v>
      </c>
      <c r="G32" s="10">
        <v>474.28890760000002</v>
      </c>
      <c r="H32" s="10">
        <v>757.50391960000002</v>
      </c>
      <c r="I32" s="10">
        <v>595.90061370000001</v>
      </c>
      <c r="J32" s="10">
        <v>774.33267499999999</v>
      </c>
      <c r="K32" s="10">
        <v>523.70785309999997</v>
      </c>
      <c r="L32" s="10">
        <v>805.40206139999998</v>
      </c>
      <c r="M32" s="10">
        <v>602.68410029999995</v>
      </c>
      <c r="N32" s="10">
        <v>799.47574859999997</v>
      </c>
      <c r="O32" s="10">
        <v>431.16538400000002</v>
      </c>
      <c r="P32" s="10">
        <v>597.75935070000003</v>
      </c>
      <c r="Q32" s="10">
        <v>643.69954740000003</v>
      </c>
      <c r="R32" s="10">
        <v>735.22620589999997</v>
      </c>
      <c r="S32" s="10">
        <v>553.80701429999999</v>
      </c>
      <c r="T32" s="10">
        <v>456.52965399999999</v>
      </c>
      <c r="U32" s="10">
        <v>449.34440899999998</v>
      </c>
      <c r="V32" s="10">
        <v>674.41472820000001</v>
      </c>
      <c r="W32" s="10">
        <v>754.25243620000003</v>
      </c>
      <c r="X32" s="10">
        <v>592.01116300000001</v>
      </c>
      <c r="Y32" s="10">
        <v>608.5690611</v>
      </c>
      <c r="Z32" s="10">
        <v>477.1730417</v>
      </c>
      <c r="AA32" s="10">
        <v>517.91900710000004</v>
      </c>
      <c r="AB32" s="10">
        <v>571.14303719999998</v>
      </c>
      <c r="AC32" s="10">
        <v>675.97594979999997</v>
      </c>
      <c r="AD32" s="10">
        <v>773.17200500000001</v>
      </c>
      <c r="AE32" s="10">
        <v>837.16795750000006</v>
      </c>
      <c r="AF32" s="10">
        <v>462.38968310000001</v>
      </c>
      <c r="AG32" s="10">
        <v>786.79489709999996</v>
      </c>
      <c r="AH32" s="10">
        <v>631.64352414999996</v>
      </c>
      <c r="AI32" s="10">
        <v>0.6</v>
      </c>
      <c r="AJ32" s="10">
        <v>1052.7392069166667</v>
      </c>
      <c r="AK32" s="10">
        <v>10.527392069166668</v>
      </c>
      <c r="AL32" s="10">
        <v>0.2</v>
      </c>
      <c r="AM32" s="10">
        <v>210.54784138333335</v>
      </c>
      <c r="AN32" s="19" t="s">
        <v>51</v>
      </c>
      <c r="AO32" s="19" t="s">
        <v>52</v>
      </c>
      <c r="AP32" s="10" t="s">
        <v>67</v>
      </c>
      <c r="AQ32" s="10" t="s">
        <v>66</v>
      </c>
      <c r="AR32" s="19">
        <v>210.54784138333335</v>
      </c>
      <c r="AS32" s="10">
        <v>0</v>
      </c>
      <c r="AT32">
        <v>0</v>
      </c>
    </row>
    <row r="33" spans="1:46">
      <c r="A33" s="10">
        <v>15.5</v>
      </c>
      <c r="B33" s="10">
        <v>55800</v>
      </c>
      <c r="C33" s="10">
        <v>430</v>
      </c>
      <c r="D33" s="10">
        <v>649.39099550000003</v>
      </c>
      <c r="E33" s="10">
        <v>609.64904000000001</v>
      </c>
      <c r="F33" s="10">
        <v>518.51246590000005</v>
      </c>
      <c r="G33" s="10">
        <v>644.64753819999999</v>
      </c>
      <c r="H33" s="10">
        <v>763.54378919999999</v>
      </c>
      <c r="I33" s="10">
        <v>557.54809350000005</v>
      </c>
      <c r="J33" s="10">
        <v>546.02162420000002</v>
      </c>
      <c r="K33" s="10">
        <v>444.46087160000002</v>
      </c>
      <c r="L33" s="10">
        <v>525.81165780000003</v>
      </c>
      <c r="M33" s="10">
        <v>752.30578690000004</v>
      </c>
      <c r="N33" s="10">
        <v>641.77683960000002</v>
      </c>
      <c r="O33" s="10">
        <v>767.22155250000003</v>
      </c>
      <c r="P33" s="10">
        <v>697.3853087</v>
      </c>
      <c r="Q33" s="10">
        <v>517.81426580000004</v>
      </c>
      <c r="R33" s="10">
        <v>540.09916269999997</v>
      </c>
      <c r="S33" s="10">
        <v>811.51584500000001</v>
      </c>
      <c r="T33" s="10">
        <v>850.81426139999996</v>
      </c>
      <c r="U33" s="10">
        <v>822.84578899999997</v>
      </c>
      <c r="V33" s="10">
        <v>831.22966010000005</v>
      </c>
      <c r="W33" s="10">
        <v>595.40520730000003</v>
      </c>
      <c r="X33" s="10">
        <v>567.42994209999995</v>
      </c>
      <c r="Y33" s="10">
        <v>637.52512779999995</v>
      </c>
      <c r="Z33" s="10">
        <v>465.27932029999999</v>
      </c>
      <c r="AA33" s="10">
        <v>673.71296729999995</v>
      </c>
      <c r="AB33" s="10">
        <v>597.05466330000002</v>
      </c>
      <c r="AC33" s="10">
        <v>824.58449829999995</v>
      </c>
      <c r="AD33" s="10">
        <v>787.938806</v>
      </c>
      <c r="AE33" s="10">
        <v>474.6484686</v>
      </c>
      <c r="AF33" s="10">
        <v>817.95728989999998</v>
      </c>
      <c r="AG33" s="10">
        <v>469.78539169999999</v>
      </c>
      <c r="AH33" s="10">
        <v>646.79720767333333</v>
      </c>
      <c r="AI33" s="10">
        <v>0.6</v>
      </c>
      <c r="AJ33" s="10">
        <v>1077.9953461222224</v>
      </c>
      <c r="AK33" s="10">
        <v>10.779953461222224</v>
      </c>
      <c r="AL33" s="10">
        <v>0.2</v>
      </c>
      <c r="AM33" s="10">
        <v>215.59906922444449</v>
      </c>
      <c r="AN33" s="19" t="s">
        <v>51</v>
      </c>
      <c r="AO33" s="19" t="s">
        <v>50</v>
      </c>
      <c r="AP33" s="10" t="s">
        <v>66</v>
      </c>
      <c r="AQ33" s="10" t="s">
        <v>67</v>
      </c>
      <c r="AR33" s="19">
        <v>0</v>
      </c>
      <c r="AS33" s="10">
        <v>215.59906922444449</v>
      </c>
      <c r="AT33">
        <v>1</v>
      </c>
    </row>
    <row r="34" spans="1:46">
      <c r="A34" s="10">
        <v>16</v>
      </c>
      <c r="B34" s="10">
        <v>57600</v>
      </c>
      <c r="C34" s="10">
        <v>450</v>
      </c>
      <c r="D34" s="10">
        <v>865.24109599999997</v>
      </c>
      <c r="E34" s="10">
        <v>592.02769909999995</v>
      </c>
      <c r="F34" s="10">
        <v>698.53755699999999</v>
      </c>
      <c r="G34" s="10">
        <v>593.92295979999994</v>
      </c>
      <c r="H34" s="10">
        <v>749.76713900000004</v>
      </c>
      <c r="I34" s="10">
        <v>668.25476119999996</v>
      </c>
      <c r="J34" s="10">
        <v>509.89902569999998</v>
      </c>
      <c r="K34" s="10">
        <v>463.18917720000002</v>
      </c>
      <c r="L34" s="10">
        <v>487.30252769999998</v>
      </c>
      <c r="M34" s="10">
        <v>460.5929309</v>
      </c>
      <c r="N34" s="10">
        <v>651.42317479999997</v>
      </c>
      <c r="O34" s="10">
        <v>731.04865080000002</v>
      </c>
      <c r="P34" s="10">
        <v>556.87967089999995</v>
      </c>
      <c r="Q34" s="10">
        <v>736.90781240000001</v>
      </c>
      <c r="R34" s="10">
        <v>644.96799799999997</v>
      </c>
      <c r="S34" s="10">
        <v>567.08840229999998</v>
      </c>
      <c r="T34" s="10">
        <v>480.99857739999999</v>
      </c>
      <c r="U34" s="10">
        <v>858.70713090000004</v>
      </c>
      <c r="V34" s="10">
        <v>645.44262819999994</v>
      </c>
      <c r="W34" s="10">
        <v>654.54254939999998</v>
      </c>
      <c r="X34" s="10">
        <v>798.19778289999999</v>
      </c>
      <c r="Y34" s="10">
        <v>891.90672900000004</v>
      </c>
      <c r="Z34" s="10">
        <v>714.65820110000004</v>
      </c>
      <c r="AA34" s="10">
        <v>892.12158209999996</v>
      </c>
      <c r="AB34" s="10">
        <v>824.65484619999995</v>
      </c>
      <c r="AC34" s="10">
        <v>587.73068869999997</v>
      </c>
      <c r="AD34" s="10">
        <v>728.71069130000001</v>
      </c>
      <c r="AE34" s="10">
        <v>463.51626640000001</v>
      </c>
      <c r="AF34" s="10">
        <v>473.55953190000002</v>
      </c>
      <c r="AG34" s="10">
        <v>838.0832054</v>
      </c>
      <c r="AH34" s="10">
        <v>660.9960331233334</v>
      </c>
      <c r="AI34" s="10">
        <v>0.6</v>
      </c>
      <c r="AJ34" s="10">
        <v>1101.6600552055556</v>
      </c>
      <c r="AK34" s="10">
        <v>11.016600552055557</v>
      </c>
      <c r="AL34" s="10">
        <v>0.2</v>
      </c>
      <c r="AM34" s="10">
        <v>220.33201104111114</v>
      </c>
      <c r="AN34" s="19" t="s">
        <v>51</v>
      </c>
      <c r="AO34" s="10" t="s">
        <v>50</v>
      </c>
      <c r="AP34" s="10" t="s">
        <v>66</v>
      </c>
      <c r="AQ34" s="10" t="s">
        <v>67</v>
      </c>
      <c r="AR34" s="19">
        <v>0</v>
      </c>
      <c r="AS34" s="10">
        <v>220.33201104111114</v>
      </c>
      <c r="AT34">
        <v>1</v>
      </c>
    </row>
    <row r="35" spans="1:46">
      <c r="A35" s="10">
        <v>16.5</v>
      </c>
      <c r="B35" s="10">
        <v>59400</v>
      </c>
      <c r="C35" s="10">
        <v>400</v>
      </c>
      <c r="D35" s="10">
        <v>780.26648139999998</v>
      </c>
      <c r="E35" s="10">
        <v>720.42755629999999</v>
      </c>
      <c r="F35" s="10">
        <v>536.11834150000004</v>
      </c>
      <c r="G35" s="10">
        <v>554.56102559999999</v>
      </c>
      <c r="H35" s="10">
        <v>471.23406829999999</v>
      </c>
      <c r="I35" s="10">
        <v>791.98917670000003</v>
      </c>
      <c r="J35" s="10">
        <v>684.77961619999996</v>
      </c>
      <c r="K35" s="10">
        <v>732.09783890000006</v>
      </c>
      <c r="L35" s="10">
        <v>506.14993709999999</v>
      </c>
      <c r="M35" s="10">
        <v>490.35500009999998</v>
      </c>
      <c r="N35" s="10">
        <v>496.53467339999997</v>
      </c>
      <c r="O35" s="10">
        <v>721.76610800000003</v>
      </c>
      <c r="P35" s="10">
        <v>601.65130950000002</v>
      </c>
      <c r="Q35" s="10">
        <v>485.37625409999998</v>
      </c>
      <c r="R35" s="10">
        <v>559.48050820000003</v>
      </c>
      <c r="S35" s="10">
        <v>510.75358419999998</v>
      </c>
      <c r="T35" s="10">
        <v>773.58970929999998</v>
      </c>
      <c r="U35" s="10">
        <v>524.00269820000005</v>
      </c>
      <c r="V35" s="10">
        <v>503.78232200000002</v>
      </c>
      <c r="W35" s="10">
        <v>612.17036459999997</v>
      </c>
      <c r="X35" s="10">
        <v>460.56889569999998</v>
      </c>
      <c r="Y35" s="10">
        <v>754.62921730000005</v>
      </c>
      <c r="Z35" s="10">
        <v>765.19637980000005</v>
      </c>
      <c r="AA35" s="10">
        <v>471.58016450000002</v>
      </c>
      <c r="AB35" s="10">
        <v>487.32306640000002</v>
      </c>
      <c r="AC35" s="10">
        <v>538.76299519999998</v>
      </c>
      <c r="AD35" s="10">
        <v>526.94438279999997</v>
      </c>
      <c r="AE35" s="10">
        <v>513.81825360000005</v>
      </c>
      <c r="AF35" s="10">
        <v>733.52836160000004</v>
      </c>
      <c r="AG35" s="10">
        <v>439.86041829999999</v>
      </c>
      <c r="AH35" s="10">
        <v>591.64329029333339</v>
      </c>
      <c r="AI35" s="10">
        <v>0.6</v>
      </c>
      <c r="AJ35" s="10">
        <v>986.07215048888906</v>
      </c>
      <c r="AK35" s="10">
        <v>9.8607215048888914</v>
      </c>
      <c r="AL35" s="10">
        <v>0.2</v>
      </c>
      <c r="AM35" s="10">
        <v>197.21443009777784</v>
      </c>
      <c r="AN35" s="10" t="s">
        <v>49</v>
      </c>
      <c r="AO35" s="19" t="s">
        <v>52</v>
      </c>
      <c r="AP35" s="10" t="s">
        <v>66</v>
      </c>
      <c r="AQ35" s="10" t="s">
        <v>67</v>
      </c>
      <c r="AR35" s="19">
        <v>0</v>
      </c>
      <c r="AS35" s="10">
        <v>197.21443009777784</v>
      </c>
      <c r="AT35">
        <v>1</v>
      </c>
    </row>
    <row r="36" spans="1:46">
      <c r="A36" s="10">
        <v>17</v>
      </c>
      <c r="B36" s="10">
        <v>61200</v>
      </c>
      <c r="C36" s="10">
        <v>390</v>
      </c>
      <c r="D36" s="10">
        <v>432.45962559999998</v>
      </c>
      <c r="E36" s="10">
        <v>601.29642269999999</v>
      </c>
      <c r="F36" s="10">
        <v>465.00342979999999</v>
      </c>
      <c r="G36" s="10">
        <v>523.91821970000001</v>
      </c>
      <c r="H36" s="10">
        <v>508.82236870000003</v>
      </c>
      <c r="I36" s="10">
        <v>621.10238460000005</v>
      </c>
      <c r="J36" s="10">
        <v>513.0524633</v>
      </c>
      <c r="K36" s="10">
        <v>418.54994979999998</v>
      </c>
      <c r="L36" s="10">
        <v>738.35295499999995</v>
      </c>
      <c r="M36" s="10">
        <v>442.84435630000002</v>
      </c>
      <c r="N36" s="10">
        <v>480.4515136</v>
      </c>
      <c r="O36" s="10">
        <v>750.06795820000002</v>
      </c>
      <c r="P36" s="10">
        <v>570.43024460000004</v>
      </c>
      <c r="Q36" s="10">
        <v>481.3684811</v>
      </c>
      <c r="R36" s="10">
        <v>481.66135980000001</v>
      </c>
      <c r="S36" s="10">
        <v>753.75368590000005</v>
      </c>
      <c r="T36" s="10">
        <v>426.22651999999999</v>
      </c>
      <c r="U36" s="10">
        <v>760.13731410000003</v>
      </c>
      <c r="V36" s="10">
        <v>432.32851090000003</v>
      </c>
      <c r="W36" s="10">
        <v>759.44984580000005</v>
      </c>
      <c r="X36" s="10">
        <v>704.67650749999996</v>
      </c>
      <c r="Y36" s="10">
        <v>702.57439859999999</v>
      </c>
      <c r="Z36" s="10">
        <v>401.18104060000002</v>
      </c>
      <c r="AA36" s="10">
        <v>578.20508689999997</v>
      </c>
      <c r="AB36" s="10">
        <v>475.773933</v>
      </c>
      <c r="AC36" s="10">
        <v>539.02191519999997</v>
      </c>
      <c r="AD36" s="10">
        <v>557.84156929999995</v>
      </c>
      <c r="AE36" s="10">
        <v>523.67405050000002</v>
      </c>
      <c r="AF36" s="10">
        <v>523.2009984</v>
      </c>
      <c r="AG36" s="10">
        <v>532.19264989999999</v>
      </c>
      <c r="AH36" s="10">
        <v>556.65399198000011</v>
      </c>
      <c r="AI36" s="10">
        <v>0.6</v>
      </c>
      <c r="AJ36" s="10">
        <v>927.75665330000027</v>
      </c>
      <c r="AK36" s="10">
        <v>9.2775665330000034</v>
      </c>
      <c r="AL36" s="10">
        <v>0.2</v>
      </c>
      <c r="AM36" s="10">
        <v>185.55133066000008</v>
      </c>
      <c r="AN36" s="19" t="s">
        <v>49</v>
      </c>
      <c r="AO36" s="19" t="s">
        <v>50</v>
      </c>
      <c r="AP36" s="10" t="s">
        <v>66</v>
      </c>
      <c r="AQ36" s="10" t="s">
        <v>67</v>
      </c>
      <c r="AR36" s="19">
        <v>0</v>
      </c>
      <c r="AS36" s="10">
        <v>185.55133066000008</v>
      </c>
      <c r="AT36">
        <v>1</v>
      </c>
    </row>
    <row r="37" spans="1:46">
      <c r="A37" s="10">
        <v>17.5</v>
      </c>
      <c r="B37" s="10">
        <v>63000</v>
      </c>
      <c r="C37" s="10">
        <v>250</v>
      </c>
      <c r="D37" s="10">
        <v>300.84510560000001</v>
      </c>
      <c r="E37" s="10">
        <v>279.85529009999999</v>
      </c>
      <c r="F37" s="10">
        <v>312.75314279999998</v>
      </c>
      <c r="G37" s="10">
        <v>389.52929769999997</v>
      </c>
      <c r="H37" s="10">
        <v>258.81931459999998</v>
      </c>
      <c r="I37" s="10">
        <v>462.74814959999998</v>
      </c>
      <c r="J37" s="10">
        <v>270.84526069999998</v>
      </c>
      <c r="K37" s="10">
        <v>260.60152049999999</v>
      </c>
      <c r="L37" s="10">
        <v>324.87322870000003</v>
      </c>
      <c r="M37" s="10">
        <v>345.74315569999999</v>
      </c>
      <c r="N37" s="10">
        <v>266.73759200000001</v>
      </c>
      <c r="O37" s="10">
        <v>304.4571176</v>
      </c>
      <c r="P37" s="10">
        <v>311.06757529999999</v>
      </c>
      <c r="Q37" s="10">
        <v>375.93572260000002</v>
      </c>
      <c r="R37" s="10">
        <v>253.52207490000001</v>
      </c>
      <c r="S37" s="10">
        <v>402.25744550000002</v>
      </c>
      <c r="T37" s="10">
        <v>337.06388820000001</v>
      </c>
      <c r="U37" s="10">
        <v>297.31772319999999</v>
      </c>
      <c r="V37" s="10">
        <v>415.87865640000001</v>
      </c>
      <c r="W37" s="10">
        <v>375.11173559999997</v>
      </c>
      <c r="X37" s="10">
        <v>368.38600889999998</v>
      </c>
      <c r="Y37" s="10">
        <v>484.73910289999998</v>
      </c>
      <c r="Z37" s="10">
        <v>457.89420050000001</v>
      </c>
      <c r="AA37" s="10">
        <v>398.06132209999998</v>
      </c>
      <c r="AB37" s="10">
        <v>364.69999780000001</v>
      </c>
      <c r="AC37" s="10">
        <v>393.2105277</v>
      </c>
      <c r="AD37" s="10">
        <v>411.71768059999999</v>
      </c>
      <c r="AE37" s="10">
        <v>471.01478329999998</v>
      </c>
      <c r="AF37" s="10">
        <v>251.27920040000001</v>
      </c>
      <c r="AG37" s="10">
        <v>385.1169792</v>
      </c>
      <c r="AH37" s="10">
        <v>351.06942669</v>
      </c>
      <c r="AI37" s="10">
        <v>0.6</v>
      </c>
      <c r="AJ37" s="10">
        <v>585.11571115000004</v>
      </c>
      <c r="AK37" s="10">
        <v>5.8511571115000001</v>
      </c>
      <c r="AL37" s="10">
        <v>0.2</v>
      </c>
      <c r="AM37" s="10">
        <v>117.02314223000002</v>
      </c>
      <c r="AN37" s="10" t="s">
        <v>49</v>
      </c>
      <c r="AO37" s="10" t="s">
        <v>50</v>
      </c>
      <c r="AP37" s="10" t="s">
        <v>66</v>
      </c>
      <c r="AQ37" s="10" t="s">
        <v>67</v>
      </c>
      <c r="AR37" s="19">
        <v>0</v>
      </c>
      <c r="AS37" s="10">
        <v>117.02314223000002</v>
      </c>
      <c r="AT37">
        <v>1</v>
      </c>
    </row>
    <row r="38" spans="1:46">
      <c r="A38" s="10">
        <v>18</v>
      </c>
      <c r="B38" s="10">
        <v>64800</v>
      </c>
      <c r="C38" s="10">
        <v>360</v>
      </c>
      <c r="D38" s="10">
        <v>556.15520059999994</v>
      </c>
      <c r="E38" s="10">
        <v>535.10249829999998</v>
      </c>
      <c r="F38" s="10">
        <v>548.5883513</v>
      </c>
      <c r="G38" s="10">
        <v>532.35288730000002</v>
      </c>
      <c r="H38" s="10">
        <v>703.52116860000001</v>
      </c>
      <c r="I38" s="10">
        <v>555.19637179999995</v>
      </c>
      <c r="J38" s="10">
        <v>453.62838119999998</v>
      </c>
      <c r="K38" s="10">
        <v>510.89598910000001</v>
      </c>
      <c r="L38" s="10">
        <v>395.89466429999999</v>
      </c>
      <c r="M38" s="10">
        <v>480.53960180000001</v>
      </c>
      <c r="N38" s="10">
        <v>525.0092204</v>
      </c>
      <c r="O38" s="10">
        <v>623.14554380000004</v>
      </c>
      <c r="P38" s="10">
        <v>670.2681182</v>
      </c>
      <c r="Q38" s="10">
        <v>568.83113639999999</v>
      </c>
      <c r="R38" s="10">
        <v>415.18489019999998</v>
      </c>
      <c r="S38" s="10">
        <v>684.63629920000005</v>
      </c>
      <c r="T38" s="10">
        <v>461.52871709999999</v>
      </c>
      <c r="U38" s="10">
        <v>525.25202890000003</v>
      </c>
      <c r="V38" s="10">
        <v>466.92356990000002</v>
      </c>
      <c r="W38" s="10">
        <v>408.46523059999998</v>
      </c>
      <c r="X38" s="10">
        <v>646.66900910000004</v>
      </c>
      <c r="Y38" s="10">
        <v>370.42860999999999</v>
      </c>
      <c r="Z38" s="10">
        <v>672.20899110000005</v>
      </c>
      <c r="AA38" s="10">
        <v>450.429869</v>
      </c>
      <c r="AB38" s="10">
        <v>490.78022709999999</v>
      </c>
      <c r="AC38" s="10">
        <v>403.61017079999999</v>
      </c>
      <c r="AD38" s="10">
        <v>529.75389470000005</v>
      </c>
      <c r="AE38" s="10">
        <v>678.3933121</v>
      </c>
      <c r="AF38" s="10">
        <v>667.61305030000005</v>
      </c>
      <c r="AG38" s="10">
        <v>577.16078210000001</v>
      </c>
      <c r="AH38" s="10">
        <v>536.93892617666677</v>
      </c>
      <c r="AI38" s="10">
        <v>0.6</v>
      </c>
      <c r="AJ38" s="10">
        <v>894.89821029444465</v>
      </c>
      <c r="AK38" s="10">
        <v>8.9489821029444467</v>
      </c>
      <c r="AL38" s="10">
        <v>0.2</v>
      </c>
      <c r="AM38" s="10">
        <v>178.97964205888894</v>
      </c>
      <c r="AN38" s="10" t="s">
        <v>49</v>
      </c>
      <c r="AO38" s="10" t="s">
        <v>50</v>
      </c>
      <c r="AP38" s="10" t="s">
        <v>66</v>
      </c>
      <c r="AQ38" s="10" t="s">
        <v>67</v>
      </c>
      <c r="AR38" s="19">
        <v>0</v>
      </c>
      <c r="AS38" s="10">
        <v>178.97964205888894</v>
      </c>
      <c r="AT38">
        <v>1</v>
      </c>
    </row>
    <row r="39" spans="1:46">
      <c r="A39" s="10">
        <v>18.5</v>
      </c>
      <c r="B39" s="10">
        <v>66600</v>
      </c>
      <c r="C39" s="10">
        <v>300</v>
      </c>
      <c r="D39" s="10">
        <v>505.08741609999998</v>
      </c>
      <c r="E39" s="10">
        <v>318.09157720000002</v>
      </c>
      <c r="F39" s="10">
        <v>416.65988090000002</v>
      </c>
      <c r="G39" s="10">
        <v>577.8604871</v>
      </c>
      <c r="H39" s="10">
        <v>582.47949640000002</v>
      </c>
      <c r="I39" s="10">
        <v>578.45741840000005</v>
      </c>
      <c r="J39" s="10">
        <v>532.50794440000004</v>
      </c>
      <c r="K39" s="10">
        <v>352.71246330000002</v>
      </c>
      <c r="L39" s="10">
        <v>584.69367139999997</v>
      </c>
      <c r="M39" s="10">
        <v>597.57924639999999</v>
      </c>
      <c r="N39" s="10">
        <v>467.94444829999998</v>
      </c>
      <c r="O39" s="10">
        <v>389.32276189999999</v>
      </c>
      <c r="P39" s="10">
        <v>363.053406</v>
      </c>
      <c r="Q39" s="10">
        <v>356.03879660000001</v>
      </c>
      <c r="R39" s="10">
        <v>504.0109266</v>
      </c>
      <c r="S39" s="10">
        <v>345.73648859999997</v>
      </c>
      <c r="T39" s="10">
        <v>495.80094320000001</v>
      </c>
      <c r="U39" s="10">
        <v>461.10392660000002</v>
      </c>
      <c r="V39" s="10">
        <v>373.89462420000001</v>
      </c>
      <c r="W39" s="10">
        <v>395.35762490000002</v>
      </c>
      <c r="X39" s="10">
        <v>447.63681229999997</v>
      </c>
      <c r="Y39" s="10">
        <v>326.49787020000002</v>
      </c>
      <c r="Z39" s="10">
        <v>502.89155060000002</v>
      </c>
      <c r="AA39" s="10">
        <v>438.43210349999998</v>
      </c>
      <c r="AB39" s="10">
        <v>391.64022729999999</v>
      </c>
      <c r="AC39" s="10">
        <v>348.71476410000002</v>
      </c>
      <c r="AD39" s="10">
        <v>456.7419769</v>
      </c>
      <c r="AE39" s="10">
        <v>469.7136122</v>
      </c>
      <c r="AF39" s="10">
        <v>572.51533600000005</v>
      </c>
      <c r="AG39" s="10">
        <v>426.85215549999998</v>
      </c>
      <c r="AH39" s="10">
        <v>452.66766523666661</v>
      </c>
      <c r="AI39" s="10">
        <v>0.6</v>
      </c>
      <c r="AJ39" s="10">
        <v>754.44610872777776</v>
      </c>
      <c r="AK39" s="10">
        <v>7.544461087277778</v>
      </c>
      <c r="AL39" s="10">
        <v>0.2</v>
      </c>
      <c r="AM39" s="10">
        <v>150.88922174555555</v>
      </c>
      <c r="AN39" s="10" t="s">
        <v>49</v>
      </c>
      <c r="AO39" s="10" t="s">
        <v>50</v>
      </c>
      <c r="AP39" s="10" t="s">
        <v>66</v>
      </c>
      <c r="AQ39" s="10" t="s">
        <v>67</v>
      </c>
      <c r="AR39" s="19">
        <v>0</v>
      </c>
      <c r="AS39" s="10">
        <v>150.88922174555555</v>
      </c>
      <c r="AT39">
        <v>1</v>
      </c>
    </row>
    <row r="40" spans="1:46">
      <c r="A40" s="10">
        <v>19</v>
      </c>
      <c r="B40" s="10">
        <v>68400</v>
      </c>
      <c r="C40" s="10">
        <v>350</v>
      </c>
      <c r="D40" s="10">
        <v>676.91699919999996</v>
      </c>
      <c r="E40" s="10">
        <v>508.40874839999998</v>
      </c>
      <c r="F40" s="10">
        <v>655.98912389999998</v>
      </c>
      <c r="G40" s="10">
        <v>694.95954559999996</v>
      </c>
      <c r="H40" s="10">
        <v>673.86755540000001</v>
      </c>
      <c r="I40" s="10">
        <v>387.51212020000003</v>
      </c>
      <c r="J40" s="10">
        <v>623.58546260000003</v>
      </c>
      <c r="K40" s="10">
        <v>414.04666859999998</v>
      </c>
      <c r="L40" s="10">
        <v>436.65707739999999</v>
      </c>
      <c r="M40" s="10">
        <v>600.44964890000006</v>
      </c>
      <c r="N40" s="10">
        <v>455.56962090000002</v>
      </c>
      <c r="O40" s="10">
        <v>502.17033479999998</v>
      </c>
      <c r="P40" s="10">
        <v>663.71465169999999</v>
      </c>
      <c r="Q40" s="10">
        <v>608.7368424</v>
      </c>
      <c r="R40" s="10">
        <v>567.98687210000003</v>
      </c>
      <c r="S40" s="10">
        <v>570.41792439999995</v>
      </c>
      <c r="T40" s="10">
        <v>628.80876190000004</v>
      </c>
      <c r="U40" s="10">
        <v>544.07940819999999</v>
      </c>
      <c r="V40" s="10">
        <v>450.14994730000001</v>
      </c>
      <c r="W40" s="10">
        <v>479.97510010000002</v>
      </c>
      <c r="X40" s="10">
        <v>576.88259010000002</v>
      </c>
      <c r="Y40" s="10">
        <v>471.37546659999998</v>
      </c>
      <c r="Z40" s="10">
        <v>403.99321500000002</v>
      </c>
      <c r="AA40" s="10">
        <v>400.3656009</v>
      </c>
      <c r="AB40" s="10">
        <v>670.77760049999995</v>
      </c>
      <c r="AC40" s="10">
        <v>607.14995820000001</v>
      </c>
      <c r="AD40" s="10">
        <v>488.4846637</v>
      </c>
      <c r="AE40" s="10">
        <v>588.65543939999998</v>
      </c>
      <c r="AF40" s="10">
        <v>606.37316090000002</v>
      </c>
      <c r="AG40" s="10">
        <v>592.07381239999995</v>
      </c>
      <c r="AH40" s="10">
        <v>551.67113072333325</v>
      </c>
      <c r="AI40" s="10">
        <v>0.6</v>
      </c>
      <c r="AJ40" s="10">
        <v>919.45188453888875</v>
      </c>
      <c r="AK40" s="10">
        <v>9.1945188453888882</v>
      </c>
      <c r="AL40" s="10">
        <v>0.2</v>
      </c>
      <c r="AM40" s="10">
        <v>183.89037690777775</v>
      </c>
      <c r="AN40" s="10" t="s">
        <v>49</v>
      </c>
      <c r="AO40" s="10" t="s">
        <v>50</v>
      </c>
      <c r="AP40" s="10" t="s">
        <v>66</v>
      </c>
      <c r="AQ40" s="10" t="s">
        <v>67</v>
      </c>
      <c r="AR40" s="19">
        <v>0</v>
      </c>
      <c r="AS40" s="10">
        <v>183.89037690777775</v>
      </c>
      <c r="AT40">
        <v>1</v>
      </c>
    </row>
    <row r="41" spans="1:46">
      <c r="A41" s="10">
        <v>19.5</v>
      </c>
      <c r="B41" s="10">
        <v>70200</v>
      </c>
      <c r="C41" s="10">
        <v>1000</v>
      </c>
      <c r="D41" s="10">
        <v>1574.2998359999999</v>
      </c>
      <c r="E41" s="10">
        <v>1244.29233</v>
      </c>
      <c r="F41" s="10">
        <v>1004.161931</v>
      </c>
      <c r="G41" s="10">
        <v>1284.4257580000001</v>
      </c>
      <c r="H41" s="10">
        <v>1351.9975489999999</v>
      </c>
      <c r="I41" s="10">
        <v>1024.3518590000001</v>
      </c>
      <c r="J41" s="10">
        <v>1342.2810569999999</v>
      </c>
      <c r="K41" s="10">
        <v>1072.4123520000001</v>
      </c>
      <c r="L41" s="10">
        <v>1495.8287150000001</v>
      </c>
      <c r="M41" s="10">
        <v>1799.178629</v>
      </c>
      <c r="N41" s="10">
        <v>1321.3437289999999</v>
      </c>
      <c r="O41" s="10">
        <v>1026.279884</v>
      </c>
      <c r="P41" s="10">
        <v>1568.2300170000001</v>
      </c>
      <c r="Q41" s="10">
        <v>1447.149443</v>
      </c>
      <c r="R41" s="10">
        <v>1192.3030429999999</v>
      </c>
      <c r="S41" s="10">
        <v>1607.4502210000001</v>
      </c>
      <c r="T41" s="10">
        <v>1221.8931970000001</v>
      </c>
      <c r="U41" s="10">
        <v>1031.2546110000001</v>
      </c>
      <c r="V41" s="10">
        <v>1024.9862189999999</v>
      </c>
      <c r="W41" s="10">
        <v>1621.9793830000001</v>
      </c>
      <c r="X41" s="10">
        <v>1300.6345679999999</v>
      </c>
      <c r="Y41" s="10">
        <v>1782.760432</v>
      </c>
      <c r="Z41" s="10">
        <v>1083.260898</v>
      </c>
      <c r="AA41" s="10">
        <v>1258.408733</v>
      </c>
      <c r="AB41" s="10">
        <v>1760.261444</v>
      </c>
      <c r="AC41" s="10">
        <v>1787.858804</v>
      </c>
      <c r="AD41" s="10">
        <v>1616.5509810000001</v>
      </c>
      <c r="AE41" s="10">
        <v>1218.5239260000001</v>
      </c>
      <c r="AF41" s="10">
        <v>1735.869974</v>
      </c>
      <c r="AG41" s="10">
        <v>1124.3883989999999</v>
      </c>
      <c r="AH41" s="10">
        <v>1364.1539307333337</v>
      </c>
      <c r="AI41" s="10">
        <v>0.6</v>
      </c>
      <c r="AJ41" s="10">
        <v>2273.5898845555562</v>
      </c>
      <c r="AK41" s="10">
        <v>22.73589884555556</v>
      </c>
      <c r="AL41" s="10">
        <v>0.2</v>
      </c>
      <c r="AM41" s="10">
        <v>454.71797691111124</v>
      </c>
      <c r="AN41" s="10" t="s">
        <v>49</v>
      </c>
      <c r="AO41" s="10" t="s">
        <v>50</v>
      </c>
      <c r="AP41" s="10" t="s">
        <v>66</v>
      </c>
      <c r="AQ41" s="10" t="s">
        <v>67</v>
      </c>
      <c r="AR41" s="19">
        <v>0</v>
      </c>
      <c r="AS41" s="10">
        <v>454.71797691111124</v>
      </c>
      <c r="AT41">
        <v>1</v>
      </c>
    </row>
    <row r="42" spans="1:46">
      <c r="A42" s="10">
        <v>20</v>
      </c>
      <c r="B42" s="10">
        <v>72000</v>
      </c>
      <c r="C42" s="10">
        <v>1200</v>
      </c>
      <c r="D42" s="10">
        <v>2045.4436250000001</v>
      </c>
      <c r="E42" s="10">
        <v>1361.410386</v>
      </c>
      <c r="F42" s="10">
        <v>1861.378931</v>
      </c>
      <c r="G42" s="10">
        <v>1306.2231300000001</v>
      </c>
      <c r="H42" s="10">
        <v>2349.1432629999999</v>
      </c>
      <c r="I42" s="10">
        <v>2062.4310500000001</v>
      </c>
      <c r="J42" s="10">
        <v>2108.7090090000002</v>
      </c>
      <c r="K42" s="10">
        <v>2263.9292909999999</v>
      </c>
      <c r="L42" s="10">
        <v>1545.5019850000001</v>
      </c>
      <c r="M42" s="10">
        <v>1792.135315</v>
      </c>
      <c r="N42" s="10">
        <v>1607.5034450000001</v>
      </c>
      <c r="O42" s="10">
        <v>1855.7250180000001</v>
      </c>
      <c r="P42" s="10">
        <v>1880.8944509999999</v>
      </c>
      <c r="Q42" s="10">
        <v>1503.9723730000001</v>
      </c>
      <c r="R42" s="10">
        <v>1544.4794159999999</v>
      </c>
      <c r="S42" s="10">
        <v>2067.0269939999998</v>
      </c>
      <c r="T42" s="10">
        <v>1540.813226</v>
      </c>
      <c r="U42" s="10">
        <v>1957.613572</v>
      </c>
      <c r="V42" s="10">
        <v>1301.347368</v>
      </c>
      <c r="W42" s="10">
        <v>2084.7440790000001</v>
      </c>
      <c r="X42" s="10">
        <v>1230.9650779999999</v>
      </c>
      <c r="Y42" s="10">
        <v>1975.5235499999999</v>
      </c>
      <c r="Z42" s="10">
        <v>2005.2164</v>
      </c>
      <c r="AA42" s="10">
        <v>1464.1238599999999</v>
      </c>
      <c r="AB42" s="10">
        <v>1697.6828989999999</v>
      </c>
      <c r="AC42" s="10">
        <v>2359.1193199999998</v>
      </c>
      <c r="AD42" s="10">
        <v>1725.0414800000001</v>
      </c>
      <c r="AE42" s="10">
        <v>2029.0348859999999</v>
      </c>
      <c r="AF42" s="10">
        <v>1359.25065</v>
      </c>
      <c r="AG42" s="10">
        <v>1894.5473079999999</v>
      </c>
      <c r="AH42" s="10">
        <v>1792.6977119333335</v>
      </c>
      <c r="AI42" s="10">
        <v>0.6</v>
      </c>
      <c r="AJ42" s="10">
        <v>2987.8295198888891</v>
      </c>
      <c r="AK42" s="10">
        <v>29.878295198888893</v>
      </c>
      <c r="AL42" s="10">
        <v>0.2</v>
      </c>
      <c r="AM42" s="10">
        <v>597.56590397777779</v>
      </c>
      <c r="AN42" s="19" t="s">
        <v>49</v>
      </c>
      <c r="AO42" s="10" t="s">
        <v>50</v>
      </c>
      <c r="AP42" s="10" t="s">
        <v>66</v>
      </c>
      <c r="AQ42" s="10" t="s">
        <v>67</v>
      </c>
      <c r="AR42" s="19">
        <v>0</v>
      </c>
      <c r="AS42" s="10">
        <v>597.56590397777779</v>
      </c>
      <c r="AT42">
        <v>1</v>
      </c>
    </row>
    <row r="43" spans="1:46">
      <c r="A43" s="10">
        <v>20.5</v>
      </c>
      <c r="B43" s="10">
        <v>73800</v>
      </c>
      <c r="C43" s="10">
        <v>980</v>
      </c>
      <c r="D43" s="10">
        <v>1113.7211500000001</v>
      </c>
      <c r="E43" s="10">
        <v>1139.015101</v>
      </c>
      <c r="F43" s="10">
        <v>1956.023739</v>
      </c>
      <c r="G43" s="10">
        <v>985.55946410000001</v>
      </c>
      <c r="H43" s="10">
        <v>1674.3452130000001</v>
      </c>
      <c r="I43" s="10">
        <v>1926.261581</v>
      </c>
      <c r="J43" s="10">
        <v>1919.7295630000001</v>
      </c>
      <c r="K43" s="10">
        <v>1552.816824</v>
      </c>
      <c r="L43" s="10">
        <v>1267.1527719999999</v>
      </c>
      <c r="M43" s="10">
        <v>1452.4820930000001</v>
      </c>
      <c r="N43" s="10">
        <v>1684.767282</v>
      </c>
      <c r="O43" s="10">
        <v>1582.5969190000001</v>
      </c>
      <c r="P43" s="10">
        <v>1946.149042</v>
      </c>
      <c r="Q43" s="10">
        <v>1861.243534</v>
      </c>
      <c r="R43" s="10">
        <v>1847.9914000000001</v>
      </c>
      <c r="S43" s="10">
        <v>1626.0532169999999</v>
      </c>
      <c r="T43" s="10">
        <v>1868.2512730000001</v>
      </c>
      <c r="U43" s="10">
        <v>1654.4741959999999</v>
      </c>
      <c r="V43" s="10">
        <v>1658.6115119999999</v>
      </c>
      <c r="W43" s="10">
        <v>1442.2526009999999</v>
      </c>
      <c r="X43" s="10">
        <v>995.70579110000006</v>
      </c>
      <c r="Y43" s="10">
        <v>1697.9917949999999</v>
      </c>
      <c r="Z43" s="10">
        <v>1017.787148</v>
      </c>
      <c r="AA43" s="10">
        <v>1645.8635959999999</v>
      </c>
      <c r="AB43" s="10">
        <v>1576.8313909999999</v>
      </c>
      <c r="AC43" s="10">
        <v>1050.597297</v>
      </c>
      <c r="AD43" s="10">
        <v>1769.3692129999999</v>
      </c>
      <c r="AE43" s="10">
        <v>1119.3351439999999</v>
      </c>
      <c r="AF43" s="10">
        <v>1361.6413439999999</v>
      </c>
      <c r="AG43" s="10">
        <v>1601.196312</v>
      </c>
      <c r="AH43" s="10">
        <v>1533.193916906667</v>
      </c>
      <c r="AI43" s="10">
        <v>0.6</v>
      </c>
      <c r="AJ43" s="10">
        <v>2555.323194844445</v>
      </c>
      <c r="AK43" s="10">
        <v>25.553231948444449</v>
      </c>
      <c r="AL43" s="10">
        <v>0.2</v>
      </c>
      <c r="AM43" s="10">
        <v>511.06463896888903</v>
      </c>
      <c r="AN43" s="10" t="s">
        <v>49</v>
      </c>
      <c r="AO43" s="10" t="s">
        <v>50</v>
      </c>
      <c r="AP43" s="10" t="s">
        <v>66</v>
      </c>
      <c r="AQ43" s="10" t="s">
        <v>67</v>
      </c>
      <c r="AR43" s="19">
        <v>0</v>
      </c>
      <c r="AS43" s="10">
        <v>511.06463896888903</v>
      </c>
      <c r="AT43">
        <v>1</v>
      </c>
    </row>
    <row r="44" spans="1:46">
      <c r="A44" s="10">
        <v>21</v>
      </c>
      <c r="B44" s="10">
        <v>75600</v>
      </c>
      <c r="C44" s="10">
        <v>900</v>
      </c>
      <c r="D44" s="10">
        <v>1179.4020989999999</v>
      </c>
      <c r="E44" s="10">
        <v>1045.949938</v>
      </c>
      <c r="F44" s="10">
        <v>1444.3316400000001</v>
      </c>
      <c r="G44" s="10">
        <v>1517.500372</v>
      </c>
      <c r="H44" s="10">
        <v>1723.5756019999999</v>
      </c>
      <c r="I44" s="10">
        <v>1761.506885</v>
      </c>
      <c r="J44" s="10">
        <v>1660.1505420000001</v>
      </c>
      <c r="K44" s="10">
        <v>949.76549899999998</v>
      </c>
      <c r="L44" s="10">
        <v>1692.5098479999999</v>
      </c>
      <c r="M44" s="10">
        <v>1405.3318320000001</v>
      </c>
      <c r="N44" s="10">
        <v>1285.967733</v>
      </c>
      <c r="O44" s="10">
        <v>1004.269951</v>
      </c>
      <c r="P44" s="10">
        <v>1646.9204649999999</v>
      </c>
      <c r="Q44" s="10">
        <v>1239.264228</v>
      </c>
      <c r="R44" s="10">
        <v>1340.8644159999999</v>
      </c>
      <c r="S44" s="10">
        <v>1030.5452849999999</v>
      </c>
      <c r="T44" s="10">
        <v>1742.1470730000001</v>
      </c>
      <c r="U44" s="10">
        <v>1691.821911</v>
      </c>
      <c r="V44" s="10">
        <v>1331.4676979999999</v>
      </c>
      <c r="W44" s="10">
        <v>1158.2000579999999</v>
      </c>
      <c r="X44" s="10">
        <v>1124.7321959999999</v>
      </c>
      <c r="Y44" s="10">
        <v>1122.4567030000001</v>
      </c>
      <c r="Z44" s="10">
        <v>1538.2304939999999</v>
      </c>
      <c r="AA44" s="10">
        <v>929.73750729999995</v>
      </c>
      <c r="AB44" s="10">
        <v>1499.2834170000001</v>
      </c>
      <c r="AC44" s="10">
        <v>1085.55574</v>
      </c>
      <c r="AD44" s="10">
        <v>1178.2293099999999</v>
      </c>
      <c r="AE44" s="10">
        <v>1642.5177650000001</v>
      </c>
      <c r="AF44" s="10">
        <v>1713.7862110000001</v>
      </c>
      <c r="AG44" s="10">
        <v>1172.7226920000001</v>
      </c>
      <c r="AH44" s="10">
        <v>1361.9581703433332</v>
      </c>
      <c r="AI44" s="10">
        <v>0.6</v>
      </c>
      <c r="AJ44" s="10">
        <v>2269.9302839055554</v>
      </c>
      <c r="AK44" s="10">
        <v>22.699302839055555</v>
      </c>
      <c r="AL44" s="10">
        <v>0.2</v>
      </c>
      <c r="AM44" s="10">
        <v>453.98605678111107</v>
      </c>
      <c r="AN44" s="10" t="s">
        <v>49</v>
      </c>
      <c r="AO44" s="10" t="s">
        <v>50</v>
      </c>
      <c r="AP44" s="10" t="s">
        <v>66</v>
      </c>
      <c r="AQ44" s="10" t="s">
        <v>67</v>
      </c>
      <c r="AR44" s="19">
        <v>0</v>
      </c>
      <c r="AS44" s="10">
        <v>453.98605678111107</v>
      </c>
      <c r="AT44">
        <v>1</v>
      </c>
    </row>
    <row r="45" spans="1:46">
      <c r="A45" s="10">
        <v>21.5</v>
      </c>
      <c r="B45" s="10">
        <v>77400</v>
      </c>
      <c r="C45" s="10">
        <v>400</v>
      </c>
      <c r="D45" s="10">
        <v>546.04107750000003</v>
      </c>
      <c r="E45" s="10">
        <v>661.82050919999995</v>
      </c>
      <c r="F45" s="10">
        <v>626.30865689999996</v>
      </c>
      <c r="G45" s="10">
        <v>580.32982679999998</v>
      </c>
      <c r="H45" s="10">
        <v>750.86044479999998</v>
      </c>
      <c r="I45" s="10">
        <v>544.56483449999996</v>
      </c>
      <c r="J45" s="10">
        <v>674.19832210000004</v>
      </c>
      <c r="K45" s="10">
        <v>767.07464259999995</v>
      </c>
      <c r="L45" s="10">
        <v>622.6736952</v>
      </c>
      <c r="M45" s="10">
        <v>797.54566790000001</v>
      </c>
      <c r="N45" s="10">
        <v>614.73611080000001</v>
      </c>
      <c r="O45" s="10">
        <v>447.8109761</v>
      </c>
      <c r="P45" s="10">
        <v>675.56758820000005</v>
      </c>
      <c r="Q45" s="10">
        <v>456.9708152</v>
      </c>
      <c r="R45" s="10">
        <v>641.56449780000003</v>
      </c>
      <c r="S45" s="10">
        <v>514.74727140000005</v>
      </c>
      <c r="T45" s="10">
        <v>605.63648609999996</v>
      </c>
      <c r="U45" s="10">
        <v>671.14723679999997</v>
      </c>
      <c r="V45" s="10">
        <v>523.59433539999998</v>
      </c>
      <c r="W45" s="10">
        <v>720.26374369999996</v>
      </c>
      <c r="X45" s="10">
        <v>422.86322419999999</v>
      </c>
      <c r="Y45" s="10">
        <v>690.00112569999999</v>
      </c>
      <c r="Z45" s="10">
        <v>723.06624710000006</v>
      </c>
      <c r="AA45" s="10">
        <v>638.85873849999996</v>
      </c>
      <c r="AB45" s="10">
        <v>789.38170279999997</v>
      </c>
      <c r="AC45" s="10">
        <v>651.5473336</v>
      </c>
      <c r="AD45" s="10">
        <v>514.08519479999995</v>
      </c>
      <c r="AE45" s="10">
        <v>445.72181740000002</v>
      </c>
      <c r="AF45" s="10">
        <v>609.19115290000002</v>
      </c>
      <c r="AG45" s="10">
        <v>690.48861079999995</v>
      </c>
      <c r="AH45" s="10">
        <v>620.62206289333312</v>
      </c>
      <c r="AI45" s="10">
        <v>0.6</v>
      </c>
      <c r="AJ45" s="10">
        <v>1034.3701048222219</v>
      </c>
      <c r="AK45" s="10">
        <v>10.34370104822222</v>
      </c>
      <c r="AL45" s="10">
        <v>0.2</v>
      </c>
      <c r="AM45" s="10">
        <v>206.87402096444441</v>
      </c>
      <c r="AN45" s="10" t="s">
        <v>49</v>
      </c>
      <c r="AO45" s="10" t="s">
        <v>50</v>
      </c>
      <c r="AP45" s="10" t="s">
        <v>66</v>
      </c>
      <c r="AQ45" s="10" t="s">
        <v>67</v>
      </c>
      <c r="AR45" s="19">
        <v>0</v>
      </c>
      <c r="AS45" s="10">
        <v>206.87402096444441</v>
      </c>
      <c r="AT45">
        <v>1</v>
      </c>
    </row>
    <row r="46" spans="1:46">
      <c r="A46" s="10">
        <v>22</v>
      </c>
      <c r="B46" s="10">
        <v>79200</v>
      </c>
      <c r="C46" s="10">
        <v>450</v>
      </c>
      <c r="D46" s="10">
        <v>679.42521360000001</v>
      </c>
      <c r="E46" s="10">
        <v>505.4851549</v>
      </c>
      <c r="F46" s="10">
        <v>722.78049280000005</v>
      </c>
      <c r="G46" s="10">
        <v>894.87764549999997</v>
      </c>
      <c r="H46" s="10">
        <v>691.33758580000006</v>
      </c>
      <c r="I46" s="10">
        <v>562.01652990000002</v>
      </c>
      <c r="J46" s="10">
        <v>550.78218119999997</v>
      </c>
      <c r="K46" s="10">
        <v>885.75490230000003</v>
      </c>
      <c r="L46" s="10">
        <v>677.73610980000001</v>
      </c>
      <c r="M46" s="10">
        <v>564.09339030000001</v>
      </c>
      <c r="N46" s="10">
        <v>620.32726990000003</v>
      </c>
      <c r="O46" s="10">
        <v>560.96699279999996</v>
      </c>
      <c r="P46" s="10">
        <v>488.87709310000002</v>
      </c>
      <c r="Q46" s="10">
        <v>844.20565929999998</v>
      </c>
      <c r="R46" s="10">
        <v>825.84078469999997</v>
      </c>
      <c r="S46" s="10">
        <v>658.13714000000004</v>
      </c>
      <c r="T46" s="10">
        <v>639.51361729999996</v>
      </c>
      <c r="U46" s="10">
        <v>766.67037660000005</v>
      </c>
      <c r="V46" s="10">
        <v>736.90888470000004</v>
      </c>
      <c r="W46" s="10">
        <v>656.55475230000002</v>
      </c>
      <c r="X46" s="10">
        <v>830.43132909999997</v>
      </c>
      <c r="Y46" s="10">
        <v>747.84588340000005</v>
      </c>
      <c r="Z46" s="10">
        <v>855.91675039999996</v>
      </c>
      <c r="AA46" s="10">
        <v>746.82518640000001</v>
      </c>
      <c r="AB46" s="10">
        <v>685.99077079999995</v>
      </c>
      <c r="AC46" s="10">
        <v>881.90685180000003</v>
      </c>
      <c r="AD46" s="10">
        <v>899.02958390000003</v>
      </c>
      <c r="AE46" s="10">
        <v>810.82828740000002</v>
      </c>
      <c r="AF46" s="10">
        <v>794.32964890000005</v>
      </c>
      <c r="AG46" s="10">
        <v>598.48560599999996</v>
      </c>
      <c r="AH46" s="10">
        <v>712.79605582999977</v>
      </c>
      <c r="AI46" s="10">
        <v>0.6</v>
      </c>
      <c r="AJ46" s="10">
        <v>1187.9934263833329</v>
      </c>
      <c r="AK46" s="10">
        <v>11.879934263833329</v>
      </c>
      <c r="AL46" s="10">
        <v>0.2</v>
      </c>
      <c r="AM46" s="10">
        <v>237.5986852766666</v>
      </c>
      <c r="AN46" s="19" t="s">
        <v>49</v>
      </c>
      <c r="AO46" s="10" t="s">
        <v>50</v>
      </c>
      <c r="AP46" s="10" t="s">
        <v>66</v>
      </c>
      <c r="AQ46" s="10" t="s">
        <v>67</v>
      </c>
      <c r="AR46" s="19">
        <v>0</v>
      </c>
      <c r="AS46" s="10">
        <v>237.5986852766666</v>
      </c>
      <c r="AT46">
        <v>1</v>
      </c>
    </row>
    <row r="47" spans="1:46">
      <c r="A47" s="10">
        <v>22.5</v>
      </c>
      <c r="B47" s="10">
        <v>81000</v>
      </c>
      <c r="C47" s="10">
        <v>420</v>
      </c>
      <c r="D47" s="10">
        <v>556.97479039999996</v>
      </c>
      <c r="E47" s="10">
        <v>827.09332410000002</v>
      </c>
      <c r="F47" s="10">
        <v>439.7717973</v>
      </c>
      <c r="G47" s="10">
        <v>833.32520150000005</v>
      </c>
      <c r="H47" s="10">
        <v>601.32126459999995</v>
      </c>
      <c r="I47" s="10">
        <v>639.23126660000003</v>
      </c>
      <c r="J47" s="10">
        <v>454.65954909999999</v>
      </c>
      <c r="K47" s="10">
        <v>700.42267890000005</v>
      </c>
      <c r="L47" s="10">
        <v>600.38150169999994</v>
      </c>
      <c r="M47" s="10">
        <v>785.8984385</v>
      </c>
      <c r="N47" s="10">
        <v>768.06800269999997</v>
      </c>
      <c r="O47" s="10">
        <v>803.12308670000004</v>
      </c>
      <c r="P47" s="10">
        <v>780.67577859999994</v>
      </c>
      <c r="Q47" s="10">
        <v>570.51686180000002</v>
      </c>
      <c r="R47" s="10">
        <v>622.67903269999999</v>
      </c>
      <c r="S47" s="10">
        <v>622.02563640000005</v>
      </c>
      <c r="T47" s="10">
        <v>548.26621669999997</v>
      </c>
      <c r="U47" s="10">
        <v>708.83060880000005</v>
      </c>
      <c r="V47" s="10">
        <v>543.97312030000001</v>
      </c>
      <c r="W47" s="10">
        <v>468.27030480000002</v>
      </c>
      <c r="X47" s="10">
        <v>423.17481859999998</v>
      </c>
      <c r="Y47" s="10">
        <v>654.86306669999999</v>
      </c>
      <c r="Z47" s="10">
        <v>791.88149229999999</v>
      </c>
      <c r="AA47" s="10">
        <v>528.54825649999998</v>
      </c>
      <c r="AB47" s="10">
        <v>422.71884469999998</v>
      </c>
      <c r="AC47" s="10">
        <v>695.16942830000005</v>
      </c>
      <c r="AD47" s="10">
        <v>751.28741230000003</v>
      </c>
      <c r="AE47" s="10">
        <v>741.04638220000004</v>
      </c>
      <c r="AF47" s="10">
        <v>576.80304550000005</v>
      </c>
      <c r="AG47" s="10">
        <v>830.78711550000003</v>
      </c>
      <c r="AH47" s="10">
        <v>643.05961082666681</v>
      </c>
      <c r="AI47" s="10">
        <v>0.6</v>
      </c>
      <c r="AJ47" s="10">
        <v>1071.7660180444448</v>
      </c>
      <c r="AK47" s="10">
        <v>10.717660180444447</v>
      </c>
      <c r="AL47" s="10">
        <v>0.2</v>
      </c>
      <c r="AM47" s="10">
        <v>214.35320360888898</v>
      </c>
      <c r="AN47" s="10" t="s">
        <v>49</v>
      </c>
      <c r="AO47" s="10" t="s">
        <v>50</v>
      </c>
      <c r="AP47" s="10" t="s">
        <v>66</v>
      </c>
      <c r="AQ47" s="10" t="s">
        <v>67</v>
      </c>
      <c r="AR47" s="19">
        <v>0</v>
      </c>
      <c r="AS47" s="10">
        <v>214.35320360888898</v>
      </c>
      <c r="AT47">
        <v>1</v>
      </c>
    </row>
    <row r="48" spans="1:46">
      <c r="A48" s="10">
        <v>23</v>
      </c>
      <c r="B48" s="10">
        <v>82800</v>
      </c>
      <c r="C48" s="10">
        <v>430</v>
      </c>
      <c r="D48" s="10">
        <v>815.83778970000003</v>
      </c>
      <c r="E48" s="10">
        <v>567.94594910000001</v>
      </c>
      <c r="F48" s="10">
        <v>747.45991660000004</v>
      </c>
      <c r="G48" s="10">
        <v>623.1090355</v>
      </c>
      <c r="H48" s="10">
        <v>585.70085849999998</v>
      </c>
      <c r="I48" s="10">
        <v>474.06575980000002</v>
      </c>
      <c r="J48" s="10">
        <v>479.15714839999998</v>
      </c>
      <c r="K48" s="10">
        <v>578.28175450000003</v>
      </c>
      <c r="L48" s="10">
        <v>500.55545160000003</v>
      </c>
      <c r="M48" s="10">
        <v>843.57549329999995</v>
      </c>
      <c r="N48" s="10">
        <v>668.02946650000001</v>
      </c>
      <c r="O48" s="10">
        <v>571.25834029999999</v>
      </c>
      <c r="P48" s="10">
        <v>848.15075899999999</v>
      </c>
      <c r="Q48" s="10">
        <v>718.03525420000005</v>
      </c>
      <c r="R48" s="10">
        <v>633.97928490000004</v>
      </c>
      <c r="S48" s="10">
        <v>795.79847459999996</v>
      </c>
      <c r="T48" s="10">
        <v>539.08194409999999</v>
      </c>
      <c r="U48" s="10">
        <v>805.53662540000005</v>
      </c>
      <c r="V48" s="10">
        <v>645.42450919999999</v>
      </c>
      <c r="W48" s="10">
        <v>537.47702660000004</v>
      </c>
      <c r="X48" s="10">
        <v>742.25692770000001</v>
      </c>
      <c r="Y48" s="10">
        <v>820.94472510000003</v>
      </c>
      <c r="Z48" s="10">
        <v>772.04328869999995</v>
      </c>
      <c r="AA48" s="10">
        <v>553.31681570000001</v>
      </c>
      <c r="AB48" s="10">
        <v>615.47738830000003</v>
      </c>
      <c r="AC48" s="10">
        <v>690.60582890000001</v>
      </c>
      <c r="AD48" s="10">
        <v>817.52034270000001</v>
      </c>
      <c r="AE48" s="10">
        <v>782.11676339999997</v>
      </c>
      <c r="AF48" s="10">
        <v>603.86113190000003</v>
      </c>
      <c r="AG48" s="10">
        <v>693.08272850000003</v>
      </c>
      <c r="AH48" s="10">
        <v>668.9895594233335</v>
      </c>
      <c r="AI48" s="10">
        <v>0.6</v>
      </c>
      <c r="AJ48" s="10">
        <v>1114.9825990388892</v>
      </c>
      <c r="AK48" s="10">
        <v>11.149825990388893</v>
      </c>
      <c r="AL48" s="10">
        <v>0.2</v>
      </c>
      <c r="AM48" s="10">
        <v>222.99651980777787</v>
      </c>
      <c r="AN48" s="10" t="s">
        <v>49</v>
      </c>
      <c r="AO48" s="10" t="s">
        <v>50</v>
      </c>
      <c r="AP48" s="10" t="s">
        <v>66</v>
      </c>
      <c r="AQ48" s="10" t="s">
        <v>67</v>
      </c>
      <c r="AR48" s="19">
        <v>0</v>
      </c>
      <c r="AS48" s="10">
        <v>222.99651980777787</v>
      </c>
      <c r="AT48">
        <v>1</v>
      </c>
    </row>
    <row r="49" spans="1:46">
      <c r="A49" s="10">
        <v>23.5</v>
      </c>
      <c r="B49" s="10">
        <v>84600</v>
      </c>
      <c r="C49" s="10">
        <v>420</v>
      </c>
      <c r="D49" s="10">
        <v>529.42197859999999</v>
      </c>
      <c r="E49" s="10">
        <v>445.43309670000002</v>
      </c>
      <c r="F49" s="10">
        <v>548.48434429999998</v>
      </c>
      <c r="G49" s="10">
        <v>755.52599310000005</v>
      </c>
      <c r="H49" s="10">
        <v>798.80713249999997</v>
      </c>
      <c r="I49" s="10">
        <v>715.31456990000004</v>
      </c>
      <c r="J49" s="10">
        <v>809.32870519999994</v>
      </c>
      <c r="K49" s="10">
        <v>548.28084569999999</v>
      </c>
      <c r="L49" s="10">
        <v>737.73851549999995</v>
      </c>
      <c r="M49" s="10">
        <v>469.39364499999999</v>
      </c>
      <c r="N49" s="10">
        <v>689.42447070000003</v>
      </c>
      <c r="O49" s="10">
        <v>828.49325759999999</v>
      </c>
      <c r="P49" s="10">
        <v>460.15827960000001</v>
      </c>
      <c r="Q49" s="10">
        <v>782.77013169999998</v>
      </c>
      <c r="R49" s="10">
        <v>469.76617090000002</v>
      </c>
      <c r="S49" s="10">
        <v>492.62383019999999</v>
      </c>
      <c r="T49" s="10">
        <v>455.20515210000002</v>
      </c>
      <c r="U49" s="10">
        <v>430.96441499999997</v>
      </c>
      <c r="V49" s="10">
        <v>789.49369820000004</v>
      </c>
      <c r="W49" s="10">
        <v>500.07214390000001</v>
      </c>
      <c r="X49" s="10">
        <v>486.83039880000001</v>
      </c>
      <c r="Y49" s="10">
        <v>443.57049009999997</v>
      </c>
      <c r="Z49" s="10">
        <v>735.86887119999994</v>
      </c>
      <c r="AA49" s="10">
        <v>665.15862549999997</v>
      </c>
      <c r="AB49" s="10">
        <v>571.09081739999999</v>
      </c>
      <c r="AC49" s="10">
        <v>594.22744499999999</v>
      </c>
      <c r="AD49" s="10">
        <v>429.08160900000001</v>
      </c>
      <c r="AE49" s="10">
        <v>524.89957300000003</v>
      </c>
      <c r="AF49" s="10">
        <v>663.9495038</v>
      </c>
      <c r="AG49" s="10">
        <v>771.17337510000004</v>
      </c>
      <c r="AH49" s="10">
        <v>604.75170284333342</v>
      </c>
      <c r="AI49" s="10">
        <v>0.6</v>
      </c>
      <c r="AJ49" s="10">
        <v>1007.919504738889</v>
      </c>
      <c r="AK49" s="10">
        <v>10.07919504738889</v>
      </c>
      <c r="AL49" s="10">
        <v>0.2</v>
      </c>
      <c r="AM49" s="10">
        <v>201.58390094777781</v>
      </c>
      <c r="AN49" s="10" t="s">
        <v>49</v>
      </c>
      <c r="AO49" s="10" t="s">
        <v>50</v>
      </c>
      <c r="AP49" s="10" t="s">
        <v>66</v>
      </c>
      <c r="AQ49" s="10" t="s">
        <v>67</v>
      </c>
      <c r="AR49" s="19">
        <v>0</v>
      </c>
      <c r="AS49" s="10">
        <v>201.58390094777781</v>
      </c>
      <c r="AT4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G49"/>
  <sheetViews>
    <sheetView tabSelected="1" workbookViewId="0">
      <selection activeCell="G1" sqref="G1"/>
    </sheetView>
  </sheetViews>
  <sheetFormatPr defaultColWidth="14.42578125" defaultRowHeight="15" customHeight="1"/>
  <cols>
    <col min="2" max="2" width="8.7109375" customWidth="1"/>
    <col min="3" max="3" width="28.28515625" customWidth="1"/>
    <col min="4" max="4" width="14.42578125" style="26"/>
    <col min="5" max="5" width="14.85546875" style="27" customWidth="1"/>
    <col min="6" max="6" width="17.28515625" style="27" customWidth="1"/>
  </cols>
  <sheetData>
    <row r="1" spans="1:7">
      <c r="A1" s="20" t="s">
        <v>3</v>
      </c>
      <c r="B1" s="6" t="s">
        <v>6</v>
      </c>
      <c r="C1" s="21" t="s">
        <v>65</v>
      </c>
      <c r="D1" s="25" t="s">
        <v>68</v>
      </c>
      <c r="E1" s="27" t="s">
        <v>69</v>
      </c>
      <c r="F1" s="27" t="s">
        <v>70</v>
      </c>
      <c r="G1" t="s">
        <v>72</v>
      </c>
    </row>
    <row r="2" spans="1:7">
      <c r="A2" s="22">
        <v>0</v>
      </c>
      <c r="B2" s="10">
        <v>0</v>
      </c>
      <c r="C2" s="23" t="s">
        <v>50</v>
      </c>
      <c r="D2" s="26">
        <v>0</v>
      </c>
      <c r="E2" s="10">
        <v>920.7886221</v>
      </c>
      <c r="F2" s="27">
        <v>0</v>
      </c>
      <c r="G2" s="27">
        <v>55</v>
      </c>
    </row>
    <row r="3" spans="1:7">
      <c r="A3" s="22">
        <v>0.5</v>
      </c>
      <c r="B3" s="10">
        <v>1800</v>
      </c>
      <c r="C3" s="23" t="s">
        <v>50</v>
      </c>
      <c r="D3" s="26">
        <v>0</v>
      </c>
      <c r="E3" s="10">
        <v>935.81941519999998</v>
      </c>
      <c r="F3" s="27">
        <v>0</v>
      </c>
      <c r="G3" s="27">
        <v>54</v>
      </c>
    </row>
    <row r="4" spans="1:7">
      <c r="A4" s="22">
        <v>1</v>
      </c>
      <c r="B4" s="10">
        <v>3600</v>
      </c>
      <c r="C4" s="23" t="s">
        <v>50</v>
      </c>
      <c r="D4" s="26">
        <v>0</v>
      </c>
      <c r="E4" s="10">
        <v>326.85595649999999</v>
      </c>
      <c r="F4" s="27">
        <v>0</v>
      </c>
      <c r="G4" s="27">
        <v>53</v>
      </c>
    </row>
    <row r="5" spans="1:7">
      <c r="A5" s="22">
        <v>1.5</v>
      </c>
      <c r="B5" s="10">
        <v>5400</v>
      </c>
      <c r="C5" s="23" t="s">
        <v>50</v>
      </c>
      <c r="D5" s="26">
        <v>0</v>
      </c>
      <c r="E5" s="10">
        <v>267.52456560000002</v>
      </c>
      <c r="F5" s="27">
        <v>0</v>
      </c>
      <c r="G5" s="27">
        <v>51</v>
      </c>
    </row>
    <row r="6" spans="1:7">
      <c r="A6" s="22">
        <v>2</v>
      </c>
      <c r="B6" s="10">
        <v>7200</v>
      </c>
      <c r="C6" s="23" t="s">
        <v>50</v>
      </c>
      <c r="D6" s="26">
        <v>0</v>
      </c>
      <c r="E6" s="10">
        <v>207.05693350000001</v>
      </c>
      <c r="F6" s="27">
        <v>0</v>
      </c>
      <c r="G6" s="27">
        <v>51</v>
      </c>
    </row>
    <row r="7" spans="1:7">
      <c r="A7" s="22">
        <v>2.5</v>
      </c>
      <c r="B7" s="10">
        <v>9000</v>
      </c>
      <c r="C7" s="23" t="s">
        <v>50</v>
      </c>
      <c r="D7" s="26">
        <v>0</v>
      </c>
      <c r="E7" s="10">
        <v>201.69830260000001</v>
      </c>
      <c r="F7" s="27">
        <v>0</v>
      </c>
      <c r="G7" s="27">
        <v>50</v>
      </c>
    </row>
    <row r="8" spans="1:7">
      <c r="A8" s="22">
        <v>3</v>
      </c>
      <c r="B8" s="10">
        <v>10800</v>
      </c>
      <c r="C8" s="23" t="s">
        <v>50</v>
      </c>
      <c r="D8" s="26">
        <v>0</v>
      </c>
      <c r="E8" s="10">
        <v>168.62678700000001</v>
      </c>
      <c r="F8" s="27">
        <v>0</v>
      </c>
      <c r="G8" s="27">
        <v>48</v>
      </c>
    </row>
    <row r="9" spans="1:7">
      <c r="A9" s="22">
        <v>3.5</v>
      </c>
      <c r="B9" s="10">
        <v>12600</v>
      </c>
      <c r="C9" s="23" t="s">
        <v>50</v>
      </c>
      <c r="D9" s="26">
        <v>0</v>
      </c>
      <c r="E9" s="10">
        <v>140.7448096</v>
      </c>
      <c r="F9" s="27">
        <v>0</v>
      </c>
      <c r="G9" s="27">
        <v>46</v>
      </c>
    </row>
    <row r="10" spans="1:7">
      <c r="A10" s="22">
        <v>4</v>
      </c>
      <c r="B10" s="10">
        <v>14400</v>
      </c>
      <c r="C10" s="23" t="s">
        <v>50</v>
      </c>
      <c r="D10" s="26">
        <v>0</v>
      </c>
      <c r="E10" s="10">
        <v>110.3871218</v>
      </c>
      <c r="F10" s="27">
        <v>0</v>
      </c>
      <c r="G10" s="27">
        <v>45</v>
      </c>
    </row>
    <row r="11" spans="1:7">
      <c r="A11" s="22">
        <v>4.5</v>
      </c>
      <c r="B11" s="10">
        <v>16200</v>
      </c>
      <c r="C11" s="23" t="s">
        <v>50</v>
      </c>
      <c r="D11" s="26">
        <v>0</v>
      </c>
      <c r="E11" s="10">
        <v>115.1577656</v>
      </c>
      <c r="F11" s="27">
        <v>0</v>
      </c>
      <c r="G11" s="27">
        <v>47</v>
      </c>
    </row>
    <row r="12" spans="1:7">
      <c r="A12" s="22">
        <v>5</v>
      </c>
      <c r="B12" s="10">
        <v>18000</v>
      </c>
      <c r="C12" s="23" t="s">
        <v>50</v>
      </c>
      <c r="D12" s="26">
        <v>0</v>
      </c>
      <c r="E12" s="10">
        <v>36.86861854</v>
      </c>
      <c r="F12" s="27">
        <v>0</v>
      </c>
      <c r="G12" s="27">
        <v>49</v>
      </c>
    </row>
    <row r="13" spans="1:7">
      <c r="A13" s="22">
        <v>5.5</v>
      </c>
      <c r="B13" s="10">
        <v>19800</v>
      </c>
      <c r="C13" s="23" t="s">
        <v>50</v>
      </c>
      <c r="D13" s="26">
        <v>0</v>
      </c>
      <c r="E13" s="10">
        <v>22.426306440000001</v>
      </c>
      <c r="F13" s="27">
        <v>0</v>
      </c>
      <c r="G13" s="27">
        <v>50</v>
      </c>
    </row>
    <row r="14" spans="1:7">
      <c r="A14" s="22">
        <v>6</v>
      </c>
      <c r="B14" s="10">
        <v>21600</v>
      </c>
      <c r="C14" s="23" t="s">
        <v>50</v>
      </c>
      <c r="D14" s="26">
        <v>0</v>
      </c>
      <c r="E14" s="10">
        <v>99.291392740000006</v>
      </c>
      <c r="F14" s="27">
        <v>0</v>
      </c>
      <c r="G14" s="27">
        <v>53</v>
      </c>
    </row>
    <row r="15" spans="1:7">
      <c r="A15" s="22">
        <v>6.5</v>
      </c>
      <c r="B15" s="10">
        <v>23400</v>
      </c>
      <c r="C15" s="23" t="s">
        <v>50</v>
      </c>
      <c r="D15" s="26">
        <v>0</v>
      </c>
      <c r="E15" s="10">
        <v>41.747224330000002</v>
      </c>
      <c r="F15" s="27">
        <v>0</v>
      </c>
      <c r="G15" s="27">
        <v>56</v>
      </c>
    </row>
    <row r="16" spans="1:7">
      <c r="A16" s="22">
        <v>7</v>
      </c>
      <c r="B16" s="10">
        <v>25200</v>
      </c>
      <c r="C16" s="23" t="s">
        <v>50</v>
      </c>
      <c r="D16" s="26">
        <v>0</v>
      </c>
      <c r="E16" s="10">
        <v>123.719441</v>
      </c>
      <c r="F16" s="27">
        <v>0</v>
      </c>
      <c r="G16" s="27">
        <v>59</v>
      </c>
    </row>
    <row r="17" spans="1:7">
      <c r="A17" s="22">
        <v>7.5</v>
      </c>
      <c r="B17" s="10">
        <v>27000</v>
      </c>
      <c r="C17" s="23" t="s">
        <v>50</v>
      </c>
      <c r="D17" s="26">
        <v>0</v>
      </c>
      <c r="E17" s="10">
        <v>155.97281430000001</v>
      </c>
      <c r="F17" s="27">
        <v>0</v>
      </c>
      <c r="G17" s="27">
        <v>62</v>
      </c>
    </row>
    <row r="18" spans="1:7">
      <c r="A18" s="22">
        <v>8</v>
      </c>
      <c r="B18" s="10">
        <v>28800</v>
      </c>
      <c r="C18" s="23" t="s">
        <v>50</v>
      </c>
      <c r="D18" s="26">
        <v>0</v>
      </c>
      <c r="E18" s="10">
        <v>176.98553459999999</v>
      </c>
      <c r="F18" s="27">
        <v>0</v>
      </c>
      <c r="G18" s="27">
        <v>65</v>
      </c>
    </row>
    <row r="19" spans="1:7">
      <c r="A19" s="22">
        <v>8.5</v>
      </c>
      <c r="B19" s="10">
        <v>30600</v>
      </c>
      <c r="C19" s="23" t="s">
        <v>50</v>
      </c>
      <c r="D19" s="26">
        <v>0</v>
      </c>
      <c r="E19" s="10">
        <v>226.1909181</v>
      </c>
      <c r="F19" s="27">
        <v>0</v>
      </c>
      <c r="G19" s="27">
        <v>62</v>
      </c>
    </row>
    <row r="20" spans="1:7">
      <c r="A20" s="22">
        <v>9</v>
      </c>
      <c r="B20" s="10">
        <v>32400</v>
      </c>
      <c r="C20" s="23" t="s">
        <v>52</v>
      </c>
      <c r="D20" s="26">
        <v>1</v>
      </c>
      <c r="E20" s="27">
        <v>0</v>
      </c>
      <c r="F20" s="10">
        <v>158.55298730000001</v>
      </c>
      <c r="G20" s="27">
        <v>60</v>
      </c>
    </row>
    <row r="21" spans="1:7">
      <c r="A21" s="22">
        <v>9.5</v>
      </c>
      <c r="B21" s="10">
        <v>34200</v>
      </c>
      <c r="C21" s="23" t="s">
        <v>52</v>
      </c>
      <c r="D21" s="26">
        <v>1</v>
      </c>
      <c r="E21" s="27">
        <v>0</v>
      </c>
      <c r="F21" s="10">
        <v>312.42828780000002</v>
      </c>
      <c r="G21" s="27">
        <v>59</v>
      </c>
    </row>
    <row r="22" spans="1:7">
      <c r="A22" s="22">
        <v>10</v>
      </c>
      <c r="B22" s="10">
        <v>36000</v>
      </c>
      <c r="C22" s="23" t="s">
        <v>50</v>
      </c>
      <c r="D22" s="26">
        <v>0</v>
      </c>
      <c r="E22" s="10">
        <v>239.77035179999999</v>
      </c>
      <c r="F22" s="27">
        <v>0</v>
      </c>
      <c r="G22" s="27">
        <v>56</v>
      </c>
    </row>
    <row r="23" spans="1:7">
      <c r="A23" s="22">
        <v>10.5</v>
      </c>
      <c r="B23" s="10">
        <v>37800</v>
      </c>
      <c r="C23" s="23" t="s">
        <v>52</v>
      </c>
      <c r="D23" s="26">
        <v>1</v>
      </c>
      <c r="E23" s="27">
        <v>0</v>
      </c>
      <c r="F23" s="10">
        <v>370.49164660000002</v>
      </c>
      <c r="G23" s="27">
        <v>52</v>
      </c>
    </row>
    <row r="24" spans="1:7">
      <c r="A24" s="22">
        <v>11</v>
      </c>
      <c r="B24" s="10">
        <v>39600</v>
      </c>
      <c r="C24" s="23" t="s">
        <v>52</v>
      </c>
      <c r="D24" s="26">
        <v>1</v>
      </c>
      <c r="E24" s="27">
        <v>0</v>
      </c>
      <c r="F24" s="10">
        <v>484.18284699999998</v>
      </c>
      <c r="G24" s="27">
        <v>50</v>
      </c>
    </row>
    <row r="25" spans="1:7">
      <c r="A25" s="22">
        <v>11.5</v>
      </c>
      <c r="B25" s="10">
        <v>41400</v>
      </c>
      <c r="C25" s="23" t="s">
        <v>52</v>
      </c>
      <c r="D25" s="26">
        <v>1</v>
      </c>
      <c r="E25" s="27">
        <v>0</v>
      </c>
      <c r="F25" s="10">
        <v>318.59970759999999</v>
      </c>
      <c r="G25" s="27">
        <v>45</v>
      </c>
    </row>
    <row r="26" spans="1:7">
      <c r="A26" s="22">
        <v>12</v>
      </c>
      <c r="B26" s="10">
        <v>43200</v>
      </c>
      <c r="C26" s="23" t="s">
        <v>50</v>
      </c>
      <c r="D26" s="26">
        <v>0</v>
      </c>
      <c r="E26" s="10">
        <v>379.94914</v>
      </c>
      <c r="F26" s="27">
        <v>0</v>
      </c>
      <c r="G26" s="27">
        <v>43</v>
      </c>
    </row>
    <row r="27" spans="1:7">
      <c r="A27" s="22">
        <v>12.5</v>
      </c>
      <c r="B27" s="10">
        <v>45000</v>
      </c>
      <c r="C27" s="23" t="s">
        <v>52</v>
      </c>
      <c r="D27" s="26">
        <v>1</v>
      </c>
      <c r="E27" s="27">
        <v>0</v>
      </c>
      <c r="F27" s="10">
        <v>466.03273630000001</v>
      </c>
      <c r="G27" s="27">
        <v>45</v>
      </c>
    </row>
    <row r="28" spans="1:7">
      <c r="A28" s="22">
        <v>13</v>
      </c>
      <c r="B28" s="10">
        <v>46800</v>
      </c>
      <c r="C28" s="23" t="s">
        <v>52</v>
      </c>
      <c r="D28" s="26">
        <v>1</v>
      </c>
      <c r="E28" s="27">
        <v>0</v>
      </c>
      <c r="F28" s="10">
        <v>650.4997525</v>
      </c>
      <c r="G28" s="27">
        <v>47</v>
      </c>
    </row>
    <row r="29" spans="1:7">
      <c r="A29" s="22">
        <v>13.5</v>
      </c>
      <c r="B29" s="10">
        <v>48600</v>
      </c>
      <c r="C29" s="23" t="s">
        <v>50</v>
      </c>
      <c r="D29" s="26">
        <v>0</v>
      </c>
      <c r="E29" s="10">
        <v>334.59154150000001</v>
      </c>
      <c r="F29" s="27">
        <v>0</v>
      </c>
      <c r="G29" s="27">
        <v>48</v>
      </c>
    </row>
    <row r="30" spans="1:7">
      <c r="A30" s="22">
        <v>14</v>
      </c>
      <c r="B30" s="10">
        <v>50400</v>
      </c>
      <c r="C30" s="23" t="s">
        <v>52</v>
      </c>
      <c r="D30" s="26">
        <v>1</v>
      </c>
      <c r="E30" s="27">
        <v>0</v>
      </c>
      <c r="F30" s="10">
        <v>622.39037180000003</v>
      </c>
      <c r="G30" s="27">
        <v>50</v>
      </c>
    </row>
    <row r="31" spans="1:7">
      <c r="A31" s="22">
        <v>14.5</v>
      </c>
      <c r="B31" s="10">
        <v>52200</v>
      </c>
      <c r="C31" s="23" t="s">
        <v>52</v>
      </c>
      <c r="D31" s="26">
        <v>1</v>
      </c>
      <c r="E31" s="27">
        <v>0</v>
      </c>
      <c r="F31" s="10">
        <v>649.71356800000001</v>
      </c>
      <c r="G31" s="27">
        <v>52</v>
      </c>
    </row>
    <row r="32" spans="1:7">
      <c r="A32" s="22">
        <v>15</v>
      </c>
      <c r="B32" s="10">
        <v>54000</v>
      </c>
      <c r="C32" s="23" t="s">
        <v>52</v>
      </c>
      <c r="D32" s="26">
        <v>1</v>
      </c>
      <c r="E32" s="27">
        <v>0</v>
      </c>
      <c r="F32" s="10">
        <v>751.56290660000002</v>
      </c>
      <c r="G32" s="27">
        <v>53</v>
      </c>
    </row>
    <row r="33" spans="1:7">
      <c r="A33" s="22">
        <v>15.5</v>
      </c>
      <c r="B33" s="10">
        <v>55800</v>
      </c>
      <c r="C33" s="23" t="s">
        <v>50</v>
      </c>
      <c r="D33" s="26">
        <v>0</v>
      </c>
      <c r="E33" s="10">
        <v>649.39099550000003</v>
      </c>
      <c r="F33" s="27">
        <v>0</v>
      </c>
      <c r="G33" s="27">
        <v>54</v>
      </c>
    </row>
    <row r="34" spans="1:7">
      <c r="A34" s="22">
        <v>16</v>
      </c>
      <c r="B34" s="10">
        <v>57600</v>
      </c>
      <c r="C34" s="23" t="s">
        <v>50</v>
      </c>
      <c r="D34" s="26">
        <v>0</v>
      </c>
      <c r="E34" s="10">
        <v>865.24109599999997</v>
      </c>
      <c r="F34" s="27">
        <v>0</v>
      </c>
      <c r="G34" s="27">
        <v>55</v>
      </c>
    </row>
    <row r="35" spans="1:7">
      <c r="A35" s="22">
        <v>16.5</v>
      </c>
      <c r="B35" s="10">
        <v>59400</v>
      </c>
      <c r="C35" s="23" t="s">
        <v>52</v>
      </c>
      <c r="D35" s="26">
        <v>1</v>
      </c>
      <c r="E35" s="10">
        <v>780.26648139999998</v>
      </c>
      <c r="F35" s="27">
        <v>0</v>
      </c>
      <c r="G35" s="27">
        <v>56</v>
      </c>
    </row>
    <row r="36" spans="1:7">
      <c r="A36" s="22">
        <v>17</v>
      </c>
      <c r="B36" s="10">
        <v>61200</v>
      </c>
      <c r="C36" s="23" t="s">
        <v>50</v>
      </c>
      <c r="D36" s="26">
        <v>0</v>
      </c>
      <c r="E36" s="10">
        <v>432.45962559999998</v>
      </c>
      <c r="F36" s="27">
        <v>0</v>
      </c>
      <c r="G36" s="27">
        <v>57</v>
      </c>
    </row>
    <row r="37" spans="1:7">
      <c r="A37" s="22">
        <v>17.5</v>
      </c>
      <c r="B37" s="10">
        <v>63000</v>
      </c>
      <c r="C37" s="23" t="s">
        <v>50</v>
      </c>
      <c r="D37" s="26">
        <v>0</v>
      </c>
      <c r="E37" s="10">
        <v>300.84510560000001</v>
      </c>
      <c r="F37" s="27">
        <v>0</v>
      </c>
      <c r="G37" s="27">
        <v>54</v>
      </c>
    </row>
    <row r="38" spans="1:7">
      <c r="A38" s="22">
        <v>18</v>
      </c>
      <c r="B38" s="10">
        <v>64800</v>
      </c>
      <c r="C38" s="23" t="s">
        <v>50</v>
      </c>
      <c r="D38" s="26">
        <v>0</v>
      </c>
      <c r="E38" s="10">
        <v>556.15520059999994</v>
      </c>
      <c r="F38" s="27">
        <v>0</v>
      </c>
      <c r="G38" s="27">
        <v>53</v>
      </c>
    </row>
    <row r="39" spans="1:7">
      <c r="A39" s="22">
        <v>18.5</v>
      </c>
      <c r="B39" s="10">
        <v>66600</v>
      </c>
      <c r="C39" s="23" t="s">
        <v>50</v>
      </c>
      <c r="D39" s="26">
        <v>0</v>
      </c>
      <c r="E39" s="10">
        <v>505.08741609999998</v>
      </c>
      <c r="F39" s="27">
        <v>0</v>
      </c>
      <c r="G39" s="27">
        <v>51</v>
      </c>
    </row>
    <row r="40" spans="1:7">
      <c r="A40" s="22">
        <v>19</v>
      </c>
      <c r="B40" s="10">
        <v>68400</v>
      </c>
      <c r="C40" s="23" t="s">
        <v>50</v>
      </c>
      <c r="D40" s="26">
        <v>0</v>
      </c>
      <c r="E40" s="10">
        <v>676.91699919999996</v>
      </c>
      <c r="F40" s="27">
        <v>0</v>
      </c>
      <c r="G40" s="27">
        <v>50</v>
      </c>
    </row>
    <row r="41" spans="1:7">
      <c r="A41" s="22">
        <v>19.5</v>
      </c>
      <c r="B41" s="10">
        <v>70200</v>
      </c>
      <c r="C41" s="23" t="s">
        <v>50</v>
      </c>
      <c r="D41" s="26">
        <v>0</v>
      </c>
      <c r="E41" s="10">
        <v>1574.2998359999999</v>
      </c>
      <c r="F41" s="27">
        <v>0</v>
      </c>
      <c r="G41" s="27">
        <v>50</v>
      </c>
    </row>
    <row r="42" spans="1:7">
      <c r="A42" s="22">
        <v>20</v>
      </c>
      <c r="B42" s="10">
        <v>72000</v>
      </c>
      <c r="C42" s="23" t="s">
        <v>50</v>
      </c>
      <c r="D42" s="26">
        <v>0</v>
      </c>
      <c r="E42" s="10">
        <v>2045.4436250000001</v>
      </c>
      <c r="F42" s="27">
        <v>0</v>
      </c>
      <c r="G42" s="27">
        <v>49</v>
      </c>
    </row>
    <row r="43" spans="1:7">
      <c r="A43" s="22">
        <v>20.5</v>
      </c>
      <c r="B43" s="10">
        <v>73800</v>
      </c>
      <c r="C43" s="23" t="s">
        <v>50</v>
      </c>
      <c r="D43" s="26">
        <v>0</v>
      </c>
      <c r="E43" s="10">
        <v>1113.7211500000001</v>
      </c>
      <c r="F43" s="27">
        <v>0</v>
      </c>
      <c r="G43" s="27">
        <v>49</v>
      </c>
    </row>
    <row r="44" spans="1:7">
      <c r="A44" s="22">
        <v>21</v>
      </c>
      <c r="B44" s="10">
        <v>75600</v>
      </c>
      <c r="C44" s="23" t="s">
        <v>50</v>
      </c>
      <c r="D44" s="26">
        <v>0</v>
      </c>
      <c r="E44" s="10">
        <v>1179.4020989999999</v>
      </c>
      <c r="F44" s="27">
        <v>0</v>
      </c>
      <c r="G44" s="27">
        <v>50</v>
      </c>
    </row>
    <row r="45" spans="1:7">
      <c r="A45" s="22">
        <v>21.5</v>
      </c>
      <c r="B45" s="10">
        <v>77400</v>
      </c>
      <c r="C45" s="23" t="s">
        <v>50</v>
      </c>
      <c r="D45" s="26">
        <v>0</v>
      </c>
      <c r="E45" s="10">
        <v>546.04107750000003</v>
      </c>
      <c r="F45" s="27">
        <v>0</v>
      </c>
      <c r="G45" s="27">
        <v>51</v>
      </c>
    </row>
    <row r="46" spans="1:7">
      <c r="A46" s="22">
        <v>22</v>
      </c>
      <c r="B46" s="10">
        <v>79200</v>
      </c>
      <c r="C46" s="23" t="s">
        <v>50</v>
      </c>
      <c r="D46" s="26">
        <v>0</v>
      </c>
      <c r="E46" s="10">
        <v>679.42521360000001</v>
      </c>
      <c r="F46" s="27">
        <v>0</v>
      </c>
      <c r="G46" s="27">
        <v>51</v>
      </c>
    </row>
    <row r="47" spans="1:7">
      <c r="A47" s="22">
        <v>22.5</v>
      </c>
      <c r="B47" s="10">
        <v>81000</v>
      </c>
      <c r="C47" s="23" t="s">
        <v>50</v>
      </c>
      <c r="D47" s="26">
        <v>0</v>
      </c>
      <c r="E47" s="10">
        <v>556.97479039999996</v>
      </c>
      <c r="F47" s="27">
        <v>0</v>
      </c>
      <c r="G47" s="27">
        <v>52</v>
      </c>
    </row>
    <row r="48" spans="1:7">
      <c r="A48" s="22">
        <v>23</v>
      </c>
      <c r="B48" s="10">
        <v>82800</v>
      </c>
      <c r="C48" s="23" t="s">
        <v>50</v>
      </c>
      <c r="D48" s="26">
        <v>0</v>
      </c>
      <c r="E48" s="10">
        <v>815.83778970000003</v>
      </c>
      <c r="F48" s="27">
        <v>0</v>
      </c>
      <c r="G48" s="27">
        <v>52</v>
      </c>
    </row>
    <row r="49" spans="1:7">
      <c r="A49" s="22">
        <v>23.5</v>
      </c>
      <c r="B49" s="10">
        <v>84600</v>
      </c>
      <c r="C49" s="23" t="s">
        <v>50</v>
      </c>
      <c r="D49" s="26">
        <v>0</v>
      </c>
      <c r="E49" s="10">
        <v>529.42197859999999</v>
      </c>
      <c r="F49" s="27">
        <v>0</v>
      </c>
      <c r="G49" s="27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processor</vt:lpstr>
      <vt:lpstr>index</vt:lpstr>
      <vt:lpstr>Agile</vt:lpstr>
      <vt:lpstr>csv-Master</vt:lpstr>
      <vt:lpstr>csv-WeatherInput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Haposan</dc:creator>
  <cp:lastModifiedBy>Harry Ramadhan</cp:lastModifiedBy>
  <dcterms:created xsi:type="dcterms:W3CDTF">2022-04-12T08:05:31Z</dcterms:created>
  <dcterms:modified xsi:type="dcterms:W3CDTF">2022-06-15T16:17:09Z</dcterms:modified>
</cp:coreProperties>
</file>